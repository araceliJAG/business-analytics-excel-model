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race\Downloads\"/>
    </mc:Choice>
  </mc:AlternateContent>
  <xr:revisionPtr revIDLastSave="0" documentId="13_ncr:1_{0680E567-07CF-46B1-8D67-A8324820C30E}" xr6:coauthVersionLast="47" xr6:coauthVersionMax="47" xr10:uidLastSave="{00000000-0000-0000-0000-000000000000}"/>
  <bookViews>
    <workbookView xWindow="-108" yWindow="-108" windowWidth="23256" windowHeight="12456" firstSheet="7" activeTab="9" xr2:uid="{00000000-000D-0000-FFFF-FFFF00000000}"/>
  </bookViews>
  <sheets>
    <sheet name="5.ID" sheetId="4" state="veryHidden" r:id="rId1"/>
    <sheet name="Pivot Table and Chart Pt1" sheetId="56" r:id="rId2"/>
    <sheet name="SI and regression Pt 2" sheetId="51" r:id="rId3"/>
    <sheet name="Food Truck Demand" sheetId="58" r:id="rId4"/>
    <sheet name="Financial information  FT" sheetId="57" r:id="rId5"/>
    <sheet name="Franchise operations  Pt3" sheetId="53" r:id="rId6"/>
    <sheet name="Current operations  Pt3 " sheetId="52" r:id="rId7"/>
    <sheet name="Expected Values Pt4" sheetId="54" r:id="rId8"/>
    <sheet name="Financial information 1 Pt1" sheetId="55" r:id="rId9"/>
    <sheet name="Food Truck  Pt 4" sheetId="59" r:id="rId10"/>
  </sheets>
  <definedNames>
    <definedName name="solver_eng" localSheetId="2" hidden="1">1</definedName>
    <definedName name="solver_lin" localSheetId="2" hidden="1">2</definedName>
    <definedName name="solver_neg" localSheetId="2" hidden="1">1</definedName>
    <definedName name="solver_num" localSheetId="2" hidden="1">0</definedName>
    <definedName name="solver_opt" localSheetId="2" hidden="1">'SI and regression Pt 2'!$H$7</definedName>
    <definedName name="solver_typ" localSheetId="2" hidden="1">1</definedName>
    <definedName name="solver_val" localSheetId="2" hidden="1">0</definedName>
    <definedName name="solver_ver" localSheetId="2" hidden="1">2</definedName>
  </definedNames>
  <calcPr calcId="191029"/>
  <pivotCaches>
    <pivotCache cacheId="0" r:id="rId11"/>
    <pivotCache cacheId="1" r:id="rId12"/>
    <pivotCache cacheId="2" r:id="rId13"/>
  </pivotCaches>
  <fileRecoveryPr autoRecover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5" i="59" l="1"/>
  <c r="H10" i="54"/>
  <c r="C51" i="54" l="1"/>
  <c r="E5" i="54"/>
  <c r="F28" i="54"/>
  <c r="C60" i="54"/>
  <c r="E60" i="54"/>
  <c r="C61" i="54"/>
  <c r="E61" i="54"/>
  <c r="C59" i="54"/>
  <c r="C44" i="54"/>
  <c r="D44" i="54"/>
  <c r="E44" i="54"/>
  <c r="C45" i="54"/>
  <c r="E45" i="54"/>
  <c r="D43" i="54"/>
  <c r="E43" i="54"/>
  <c r="C43" i="54"/>
  <c r="C35" i="54"/>
  <c r="E35" i="54"/>
  <c r="C36" i="54"/>
  <c r="E36" i="54"/>
  <c r="E34" i="54"/>
  <c r="E59" i="54" s="1"/>
  <c r="C34" i="54"/>
  <c r="E58" i="54"/>
  <c r="D58" i="54"/>
  <c r="C58" i="54"/>
  <c r="E50" i="54"/>
  <c r="D50" i="54"/>
  <c r="C50" i="54"/>
  <c r="E42" i="54"/>
  <c r="D42" i="54"/>
  <c r="C42" i="54"/>
  <c r="K6" i="54" l="1"/>
  <c r="C13" i="54"/>
  <c r="E51" i="54" l="1"/>
  <c r="M5" i="54"/>
  <c r="E29" i="54" l="1"/>
  <c r="C29" i="54"/>
  <c r="E28" i="54"/>
  <c r="D28" i="54"/>
  <c r="D27" i="54"/>
  <c r="C27" i="54"/>
  <c r="E22" i="54"/>
  <c r="C22" i="54"/>
  <c r="E21" i="54"/>
  <c r="D21" i="54"/>
  <c r="D20" i="54"/>
  <c r="C20" i="54"/>
  <c r="E15" i="54"/>
  <c r="C15" i="54"/>
  <c r="E14" i="54"/>
  <c r="D14" i="54"/>
  <c r="D13" i="54"/>
  <c r="E13" i="54"/>
  <c r="I5" i="54" s="1"/>
  <c r="E20" i="54" l="1"/>
  <c r="E7" i="54"/>
  <c r="C7" i="54"/>
  <c r="E6" i="54"/>
  <c r="D6" i="54"/>
  <c r="C6" i="54"/>
  <c r="C14" i="54" s="1"/>
  <c r="D5" i="54"/>
  <c r="C5" i="54"/>
  <c r="B75" i="52"/>
  <c r="B66" i="52"/>
  <c r="C56" i="52"/>
  <c r="D56" i="52"/>
  <c r="E56" i="52"/>
  <c r="F56" i="52"/>
  <c r="G56" i="52"/>
  <c r="H56" i="52"/>
  <c r="I56" i="52"/>
  <c r="J56" i="52"/>
  <c r="K56" i="52"/>
  <c r="L56" i="52"/>
  <c r="M56" i="52"/>
  <c r="C57" i="52"/>
  <c r="D57" i="52"/>
  <c r="E57" i="52"/>
  <c r="F57" i="52"/>
  <c r="G57" i="52"/>
  <c r="H57" i="52"/>
  <c r="I57" i="52"/>
  <c r="J57" i="52"/>
  <c r="K57" i="52"/>
  <c r="L57" i="52"/>
  <c r="M57" i="52"/>
  <c r="C58" i="52"/>
  <c r="D58" i="52"/>
  <c r="E58" i="52"/>
  <c r="F58" i="52"/>
  <c r="G58" i="52"/>
  <c r="H58" i="52"/>
  <c r="I58" i="52"/>
  <c r="J58" i="52"/>
  <c r="K58" i="52"/>
  <c r="L58" i="52"/>
  <c r="M58" i="52"/>
  <c r="C60" i="52"/>
  <c r="D60" i="52"/>
  <c r="E60" i="52"/>
  <c r="F60" i="52"/>
  <c r="G60" i="52"/>
  <c r="H60" i="52"/>
  <c r="I60" i="52"/>
  <c r="J60" i="52"/>
  <c r="K60" i="52"/>
  <c r="L60" i="52"/>
  <c r="M60" i="52"/>
  <c r="C61" i="52"/>
  <c r="D61" i="52"/>
  <c r="E61" i="52"/>
  <c r="F61" i="52"/>
  <c r="G61" i="52"/>
  <c r="H61" i="52"/>
  <c r="I61" i="52"/>
  <c r="J61" i="52"/>
  <c r="K61" i="52"/>
  <c r="L61" i="52"/>
  <c r="M61" i="52"/>
  <c r="C62" i="52"/>
  <c r="D62" i="52"/>
  <c r="E62" i="52"/>
  <c r="F62" i="52"/>
  <c r="G62" i="52"/>
  <c r="H62" i="52"/>
  <c r="I62" i="52"/>
  <c r="J62" i="52"/>
  <c r="K62" i="52"/>
  <c r="L62" i="52"/>
  <c r="M62" i="52"/>
  <c r="C63" i="52"/>
  <c r="D63" i="52"/>
  <c r="E63" i="52"/>
  <c r="F63" i="52"/>
  <c r="G63" i="52"/>
  <c r="H63" i="52"/>
  <c r="I63" i="52"/>
  <c r="J63" i="52"/>
  <c r="K63" i="52"/>
  <c r="L63" i="52"/>
  <c r="M63" i="52"/>
  <c r="C65" i="52"/>
  <c r="D65" i="52"/>
  <c r="E65" i="52"/>
  <c r="F65" i="52"/>
  <c r="G65" i="52"/>
  <c r="H65" i="52"/>
  <c r="I65" i="52"/>
  <c r="J65" i="52"/>
  <c r="K65" i="52"/>
  <c r="L65" i="52"/>
  <c r="M65" i="52"/>
  <c r="C66" i="52"/>
  <c r="D66" i="52"/>
  <c r="E66" i="52"/>
  <c r="F66" i="52"/>
  <c r="G66" i="52"/>
  <c r="H66" i="52"/>
  <c r="I66" i="52"/>
  <c r="J66" i="52"/>
  <c r="K66" i="52"/>
  <c r="L66" i="52"/>
  <c r="M66" i="52"/>
  <c r="C69" i="52"/>
  <c r="C71" i="52" s="1"/>
  <c r="D69" i="52"/>
  <c r="D71" i="52" s="1"/>
  <c r="E69" i="52"/>
  <c r="E71" i="52" s="1"/>
  <c r="F69" i="52"/>
  <c r="F71" i="52" s="1"/>
  <c r="G69" i="52"/>
  <c r="G71" i="52" s="1"/>
  <c r="H69" i="52"/>
  <c r="H71" i="52" s="1"/>
  <c r="I69" i="52"/>
  <c r="I71" i="52" s="1"/>
  <c r="J69" i="52"/>
  <c r="J71" i="52" s="1"/>
  <c r="K69" i="52"/>
  <c r="K71" i="52" s="1"/>
  <c r="L69" i="52"/>
  <c r="L71" i="52" s="1"/>
  <c r="M69" i="52"/>
  <c r="M71" i="52" s="1"/>
  <c r="C70" i="52"/>
  <c r="D70" i="52"/>
  <c r="E70" i="52"/>
  <c r="F70" i="52"/>
  <c r="G70" i="52"/>
  <c r="H70" i="52"/>
  <c r="I70" i="52"/>
  <c r="J70" i="52"/>
  <c r="K70" i="52"/>
  <c r="L70" i="52"/>
  <c r="M70" i="52"/>
  <c r="C72" i="52"/>
  <c r="D72" i="52"/>
  <c r="E72" i="52"/>
  <c r="F72" i="52"/>
  <c r="G72" i="52"/>
  <c r="H72" i="52"/>
  <c r="I72" i="52"/>
  <c r="J72" i="52"/>
  <c r="K72" i="52"/>
  <c r="L72" i="52"/>
  <c r="M72" i="52"/>
  <c r="B70" i="52"/>
  <c r="B69" i="52"/>
  <c r="B65" i="52"/>
  <c r="B58" i="52"/>
  <c r="B57" i="52"/>
  <c r="B56" i="52"/>
  <c r="B60" i="53"/>
  <c r="L75" i="53"/>
  <c r="M75" i="53"/>
  <c r="N56" i="59"/>
  <c r="N55" i="59"/>
  <c r="C56" i="59"/>
  <c r="D56" i="59"/>
  <c r="E56" i="59"/>
  <c r="F56" i="59"/>
  <c r="G56" i="59"/>
  <c r="H56" i="59"/>
  <c r="I56" i="59"/>
  <c r="J56" i="59"/>
  <c r="K56" i="59"/>
  <c r="L56" i="59"/>
  <c r="M56" i="59"/>
  <c r="C55" i="59"/>
  <c r="D55" i="59"/>
  <c r="E55" i="59"/>
  <c r="F55" i="59"/>
  <c r="G55" i="59"/>
  <c r="H55" i="59"/>
  <c r="I55" i="59"/>
  <c r="J55" i="59"/>
  <c r="K55" i="59"/>
  <c r="L55" i="59"/>
  <c r="L57" i="59" s="1"/>
  <c r="L62" i="59" s="1"/>
  <c r="M55" i="59"/>
  <c r="B56" i="59"/>
  <c r="B69" i="59"/>
  <c r="B44" i="59"/>
  <c r="N72" i="59"/>
  <c r="M72" i="59"/>
  <c r="L72" i="59"/>
  <c r="K72" i="59"/>
  <c r="J72" i="59"/>
  <c r="I72" i="59"/>
  <c r="H72" i="59"/>
  <c r="G72" i="59"/>
  <c r="F72" i="59"/>
  <c r="E72" i="59"/>
  <c r="D72" i="59"/>
  <c r="C72" i="59"/>
  <c r="B72" i="59"/>
  <c r="M70" i="59"/>
  <c r="L70" i="59"/>
  <c r="K70" i="59"/>
  <c r="J70" i="59"/>
  <c r="I70" i="59"/>
  <c r="H70" i="59"/>
  <c r="G70" i="59"/>
  <c r="F70" i="59"/>
  <c r="E70" i="59"/>
  <c r="D70" i="59"/>
  <c r="C70" i="59"/>
  <c r="B70" i="59"/>
  <c r="M69" i="59"/>
  <c r="M71" i="59" s="1"/>
  <c r="L69" i="59"/>
  <c r="L71" i="59" s="1"/>
  <c r="K69" i="59"/>
  <c r="K71" i="59" s="1"/>
  <c r="J69" i="59"/>
  <c r="J71" i="59" s="1"/>
  <c r="I69" i="59"/>
  <c r="I71" i="59" s="1"/>
  <c r="H69" i="59"/>
  <c r="H71" i="59" s="1"/>
  <c r="G69" i="59"/>
  <c r="G71" i="59" s="1"/>
  <c r="F69" i="59"/>
  <c r="F71" i="59" s="1"/>
  <c r="E69" i="59"/>
  <c r="E71" i="59" s="1"/>
  <c r="D69" i="59"/>
  <c r="D71" i="59" s="1"/>
  <c r="C69" i="59"/>
  <c r="C71" i="59" s="1"/>
  <c r="M65" i="59"/>
  <c r="M66" i="59" s="1"/>
  <c r="L65" i="59"/>
  <c r="L66" i="59" s="1"/>
  <c r="K65" i="59"/>
  <c r="K66" i="59" s="1"/>
  <c r="J65" i="59"/>
  <c r="J66" i="59" s="1"/>
  <c r="I65" i="59"/>
  <c r="I66" i="59" s="1"/>
  <c r="H65" i="59"/>
  <c r="H66" i="59" s="1"/>
  <c r="G65" i="59"/>
  <c r="G66" i="59" s="1"/>
  <c r="F65" i="59"/>
  <c r="F66" i="59" s="1"/>
  <c r="E65" i="59"/>
  <c r="E66" i="59" s="1"/>
  <c r="D65" i="59"/>
  <c r="D66" i="59" s="1"/>
  <c r="C65" i="59"/>
  <c r="C66" i="59" s="1"/>
  <c r="B65" i="59"/>
  <c r="M61" i="59"/>
  <c r="L61" i="59"/>
  <c r="K61" i="59"/>
  <c r="J61" i="59"/>
  <c r="I61" i="59"/>
  <c r="H61" i="59"/>
  <c r="G61" i="59"/>
  <c r="F61" i="59"/>
  <c r="E61" i="59"/>
  <c r="D61" i="59"/>
  <c r="C61" i="59"/>
  <c r="B61" i="59"/>
  <c r="M60" i="59"/>
  <c r="L60" i="59"/>
  <c r="K60" i="59"/>
  <c r="J60" i="59"/>
  <c r="I60" i="59"/>
  <c r="H60" i="59"/>
  <c r="G60" i="59"/>
  <c r="F60" i="59"/>
  <c r="E60" i="59"/>
  <c r="D60" i="59"/>
  <c r="C60" i="59"/>
  <c r="B60" i="59"/>
  <c r="M58" i="59"/>
  <c r="L58" i="59"/>
  <c r="K58" i="59"/>
  <c r="J58" i="59"/>
  <c r="I58" i="59"/>
  <c r="H58" i="59"/>
  <c r="G58" i="59"/>
  <c r="F58" i="59"/>
  <c r="E58" i="59"/>
  <c r="D58" i="59"/>
  <c r="C58" i="59"/>
  <c r="B58" i="59"/>
  <c r="N58" i="59" s="1"/>
  <c r="M57" i="59"/>
  <c r="M62" i="59" s="1"/>
  <c r="K57" i="59"/>
  <c r="K62" i="59" s="1"/>
  <c r="J57" i="59"/>
  <c r="J62" i="59" s="1"/>
  <c r="I57" i="59"/>
  <c r="I62" i="59" s="1"/>
  <c r="H57" i="59"/>
  <c r="H62" i="59" s="1"/>
  <c r="G57" i="59"/>
  <c r="G62" i="59" s="1"/>
  <c r="F57" i="59"/>
  <c r="F62" i="59" s="1"/>
  <c r="E57" i="59"/>
  <c r="E62" i="59" s="1"/>
  <c r="D57" i="59"/>
  <c r="D62" i="59" s="1"/>
  <c r="C57" i="59"/>
  <c r="C62" i="59" s="1"/>
  <c r="B57" i="59"/>
  <c r="B35" i="59"/>
  <c r="N31" i="59"/>
  <c r="N32" i="59"/>
  <c r="N33" i="59"/>
  <c r="N36" i="59"/>
  <c r="N37" i="59"/>
  <c r="N40" i="59"/>
  <c r="N41" i="59"/>
  <c r="N30" i="59"/>
  <c r="C30" i="59"/>
  <c r="D30" i="59"/>
  <c r="E30" i="59"/>
  <c r="F30" i="59"/>
  <c r="G30" i="59"/>
  <c r="H30" i="59"/>
  <c r="H31" i="59" s="1"/>
  <c r="I30" i="59"/>
  <c r="J30" i="59"/>
  <c r="K30" i="59"/>
  <c r="L30" i="59"/>
  <c r="M30" i="59"/>
  <c r="C31" i="59"/>
  <c r="D31" i="59"/>
  <c r="E31" i="59"/>
  <c r="F31" i="59"/>
  <c r="G31" i="59"/>
  <c r="I31" i="59"/>
  <c r="J31" i="59"/>
  <c r="K31" i="59"/>
  <c r="L31" i="59"/>
  <c r="M31" i="59"/>
  <c r="C32" i="59"/>
  <c r="D32" i="59"/>
  <c r="E32" i="59"/>
  <c r="F32" i="59"/>
  <c r="G32" i="59"/>
  <c r="H32" i="59"/>
  <c r="I32" i="59"/>
  <c r="J32" i="59"/>
  <c r="K32" i="59"/>
  <c r="L32" i="59"/>
  <c r="M32" i="59"/>
  <c r="C33" i="59"/>
  <c r="D33" i="59"/>
  <c r="E33" i="59"/>
  <c r="F33" i="59"/>
  <c r="G33" i="59"/>
  <c r="H33" i="59"/>
  <c r="I33" i="59"/>
  <c r="J33" i="59"/>
  <c r="K33" i="59"/>
  <c r="L33" i="59"/>
  <c r="M33" i="59"/>
  <c r="C35" i="59"/>
  <c r="C38" i="59" s="1"/>
  <c r="D35" i="59"/>
  <c r="D38" i="59" s="1"/>
  <c r="E35" i="59"/>
  <c r="E38" i="59" s="1"/>
  <c r="F35" i="59"/>
  <c r="F38" i="59" s="1"/>
  <c r="G35" i="59"/>
  <c r="G38" i="59" s="1"/>
  <c r="I35" i="59"/>
  <c r="I38" i="59" s="1"/>
  <c r="J35" i="59"/>
  <c r="J38" i="59" s="1"/>
  <c r="K35" i="59"/>
  <c r="K38" i="59" s="1"/>
  <c r="L35" i="59"/>
  <c r="L38" i="59" s="1"/>
  <c r="M35" i="59"/>
  <c r="M38" i="59" s="1"/>
  <c r="C36" i="59"/>
  <c r="D36" i="59"/>
  <c r="E36" i="59"/>
  <c r="F36" i="59"/>
  <c r="G36" i="59"/>
  <c r="I36" i="59"/>
  <c r="J36" i="59"/>
  <c r="K36" i="59"/>
  <c r="L36" i="59"/>
  <c r="M36" i="59"/>
  <c r="C37" i="59"/>
  <c r="D37" i="59"/>
  <c r="E37" i="59"/>
  <c r="F37" i="59"/>
  <c r="G37" i="59"/>
  <c r="H37" i="59"/>
  <c r="I37" i="59"/>
  <c r="J37" i="59"/>
  <c r="K37" i="59"/>
  <c r="L37" i="59"/>
  <c r="M37" i="59"/>
  <c r="C40" i="59"/>
  <c r="C41" i="59" s="1"/>
  <c r="D40" i="59"/>
  <c r="D41" i="59" s="1"/>
  <c r="E40" i="59"/>
  <c r="E41" i="59" s="1"/>
  <c r="F40" i="59"/>
  <c r="F41" i="59" s="1"/>
  <c r="G40" i="59"/>
  <c r="G41" i="59" s="1"/>
  <c r="H40" i="59"/>
  <c r="H41" i="59" s="1"/>
  <c r="I40" i="59"/>
  <c r="I41" i="59" s="1"/>
  <c r="J40" i="59"/>
  <c r="J41" i="59" s="1"/>
  <c r="K40" i="59"/>
  <c r="K41" i="59" s="1"/>
  <c r="L40" i="59"/>
  <c r="L41" i="59" s="1"/>
  <c r="M40" i="59"/>
  <c r="M41" i="59" s="1"/>
  <c r="N47" i="59"/>
  <c r="M47" i="59"/>
  <c r="L47" i="59"/>
  <c r="K47" i="59"/>
  <c r="J47" i="59"/>
  <c r="I47" i="59"/>
  <c r="H47" i="59"/>
  <c r="G47" i="59"/>
  <c r="F47" i="59"/>
  <c r="E47" i="59"/>
  <c r="D47" i="59"/>
  <c r="C47" i="59"/>
  <c r="B47" i="59"/>
  <c r="M45" i="59"/>
  <c r="L45" i="59"/>
  <c r="K45" i="59"/>
  <c r="J45" i="59"/>
  <c r="I45" i="59"/>
  <c r="G45" i="59"/>
  <c r="F45" i="59"/>
  <c r="E45" i="59"/>
  <c r="D45" i="59"/>
  <c r="C45" i="59"/>
  <c r="B45" i="59"/>
  <c r="M44" i="59"/>
  <c r="M46" i="59" s="1"/>
  <c r="M48" i="59" s="1"/>
  <c r="M50" i="59" s="1"/>
  <c r="L44" i="59"/>
  <c r="L46" i="59" s="1"/>
  <c r="L48" i="59" s="1"/>
  <c r="L50" i="59" s="1"/>
  <c r="K44" i="59"/>
  <c r="K46" i="59" s="1"/>
  <c r="K48" i="59" s="1"/>
  <c r="K50" i="59" s="1"/>
  <c r="J44" i="59"/>
  <c r="J46" i="59" s="1"/>
  <c r="J48" i="59" s="1"/>
  <c r="J50" i="59" s="1"/>
  <c r="I44" i="59"/>
  <c r="I46" i="59" s="1"/>
  <c r="I48" i="59" s="1"/>
  <c r="I50" i="59" s="1"/>
  <c r="G44" i="59"/>
  <c r="G46" i="59" s="1"/>
  <c r="G48" i="59" s="1"/>
  <c r="G50" i="59" s="1"/>
  <c r="F44" i="59"/>
  <c r="F46" i="59" s="1"/>
  <c r="F48" i="59" s="1"/>
  <c r="F50" i="59" s="1"/>
  <c r="E44" i="59"/>
  <c r="E46" i="59" s="1"/>
  <c r="E48" i="59" s="1"/>
  <c r="E50" i="59" s="1"/>
  <c r="D44" i="59"/>
  <c r="D46" i="59" s="1"/>
  <c r="D48" i="59" s="1"/>
  <c r="D50" i="59" s="1"/>
  <c r="C44" i="59"/>
  <c r="C46" i="59" s="1"/>
  <c r="C48" i="59" s="1"/>
  <c r="C50" i="59" s="1"/>
  <c r="B41" i="59"/>
  <c r="B40" i="59"/>
  <c r="B36" i="59"/>
  <c r="B31" i="59"/>
  <c r="B30" i="59"/>
  <c r="B55" i="59"/>
  <c r="B33" i="59"/>
  <c r="N23" i="59"/>
  <c r="C25" i="59"/>
  <c r="D25" i="59"/>
  <c r="E25" i="59"/>
  <c r="F25" i="59"/>
  <c r="G25" i="59"/>
  <c r="H25" i="59"/>
  <c r="I25" i="59"/>
  <c r="J25" i="59"/>
  <c r="K25" i="59"/>
  <c r="L25" i="59"/>
  <c r="M25" i="59"/>
  <c r="N25" i="59"/>
  <c r="D7" i="54" s="1"/>
  <c r="C23" i="59"/>
  <c r="D23" i="59"/>
  <c r="E23" i="59"/>
  <c r="F23" i="59"/>
  <c r="G23" i="59"/>
  <c r="H23" i="59"/>
  <c r="I23" i="59"/>
  <c r="J23" i="59"/>
  <c r="K23" i="59"/>
  <c r="L23" i="59"/>
  <c r="M23" i="59"/>
  <c r="N22" i="59"/>
  <c r="C22" i="59"/>
  <c r="D22" i="59"/>
  <c r="E22" i="59"/>
  <c r="F22" i="59"/>
  <c r="G22" i="59"/>
  <c r="H22" i="59"/>
  <c r="I22" i="59"/>
  <c r="J22" i="59"/>
  <c r="K22" i="59"/>
  <c r="L22" i="59"/>
  <c r="M22" i="59"/>
  <c r="B22" i="59"/>
  <c r="N20" i="59"/>
  <c r="N21" i="59"/>
  <c r="C21" i="59"/>
  <c r="D21" i="59"/>
  <c r="E21" i="59"/>
  <c r="F21" i="59"/>
  <c r="G21" i="59"/>
  <c r="H21" i="59"/>
  <c r="I21" i="59"/>
  <c r="J21" i="59"/>
  <c r="K21" i="59"/>
  <c r="L21" i="59"/>
  <c r="M21" i="59"/>
  <c r="B21" i="59"/>
  <c r="N19" i="59"/>
  <c r="C20" i="59"/>
  <c r="D20" i="59"/>
  <c r="E20" i="59"/>
  <c r="F20" i="59"/>
  <c r="G20" i="59"/>
  <c r="H20" i="59"/>
  <c r="I20" i="59"/>
  <c r="J20" i="59"/>
  <c r="K20" i="59"/>
  <c r="L20" i="59"/>
  <c r="M20" i="59"/>
  <c r="B20" i="59"/>
  <c r="C19" i="59"/>
  <c r="D19" i="59"/>
  <c r="E19" i="59"/>
  <c r="F19" i="59"/>
  <c r="G19" i="59"/>
  <c r="H19" i="59"/>
  <c r="I19" i="59"/>
  <c r="J19" i="59"/>
  <c r="K19" i="59"/>
  <c r="L19" i="59"/>
  <c r="M19" i="59"/>
  <c r="B19" i="59"/>
  <c r="N15" i="59"/>
  <c r="N16" i="59"/>
  <c r="B16" i="59"/>
  <c r="C16" i="59"/>
  <c r="D16" i="59"/>
  <c r="E16" i="59"/>
  <c r="F16" i="59"/>
  <c r="G16" i="59"/>
  <c r="H16" i="59"/>
  <c r="I16" i="59"/>
  <c r="J16" i="59"/>
  <c r="K16" i="59"/>
  <c r="L16" i="59"/>
  <c r="M16" i="59"/>
  <c r="C15" i="59"/>
  <c r="D15" i="59"/>
  <c r="E15" i="59"/>
  <c r="F15" i="59"/>
  <c r="G15" i="59"/>
  <c r="H15" i="59"/>
  <c r="I15" i="59"/>
  <c r="J15" i="59"/>
  <c r="K15" i="59"/>
  <c r="L15" i="59"/>
  <c r="M15" i="59"/>
  <c r="B15" i="59"/>
  <c r="N13" i="59"/>
  <c r="C13" i="59"/>
  <c r="D13" i="59"/>
  <c r="E13" i="59"/>
  <c r="F13" i="59"/>
  <c r="G13" i="59"/>
  <c r="H13" i="59"/>
  <c r="I13" i="59"/>
  <c r="J13" i="59"/>
  <c r="K13" i="59"/>
  <c r="L13" i="59"/>
  <c r="M13" i="59"/>
  <c r="B13" i="59"/>
  <c r="N11" i="59"/>
  <c r="N12" i="59"/>
  <c r="N10" i="59"/>
  <c r="M12" i="59"/>
  <c r="C12" i="59"/>
  <c r="D12" i="59"/>
  <c r="E12" i="59"/>
  <c r="F12" i="59"/>
  <c r="G12" i="59"/>
  <c r="H12" i="59"/>
  <c r="I12" i="59"/>
  <c r="J12" i="59"/>
  <c r="K12" i="59"/>
  <c r="L12" i="59"/>
  <c r="B12" i="59"/>
  <c r="C11" i="59"/>
  <c r="D11" i="59"/>
  <c r="E11" i="59"/>
  <c r="F11" i="59"/>
  <c r="G11" i="59"/>
  <c r="H11" i="59"/>
  <c r="I11" i="59"/>
  <c r="J11" i="59"/>
  <c r="K11" i="59"/>
  <c r="L11" i="59"/>
  <c r="M11" i="59"/>
  <c r="B11" i="59"/>
  <c r="C10" i="59"/>
  <c r="D10" i="59"/>
  <c r="E10" i="59"/>
  <c r="F10" i="59"/>
  <c r="G10" i="59"/>
  <c r="H10" i="59"/>
  <c r="I10" i="59"/>
  <c r="J10" i="59"/>
  <c r="K10" i="59"/>
  <c r="L10" i="59"/>
  <c r="M10" i="59"/>
  <c r="B10" i="59"/>
  <c r="C6" i="59"/>
  <c r="D6" i="59"/>
  <c r="E6" i="59"/>
  <c r="F6" i="59"/>
  <c r="G6" i="59"/>
  <c r="H6" i="59"/>
  <c r="I6" i="59"/>
  <c r="J6" i="59"/>
  <c r="K6" i="59"/>
  <c r="L6" i="59"/>
  <c r="M6" i="59"/>
  <c r="N6" i="59"/>
  <c r="B6" i="59"/>
  <c r="N5" i="59"/>
  <c r="M5" i="59"/>
  <c r="L5" i="59"/>
  <c r="K5" i="59"/>
  <c r="J5" i="59"/>
  <c r="I5" i="59"/>
  <c r="H5" i="59"/>
  <c r="G5" i="59"/>
  <c r="F5" i="59"/>
  <c r="E5" i="59"/>
  <c r="D5" i="59"/>
  <c r="C5" i="59"/>
  <c r="B5" i="59"/>
  <c r="B18" i="58"/>
  <c r="B19" i="58"/>
  <c r="B20" i="58"/>
  <c r="B21" i="58"/>
  <c r="B22" i="58"/>
  <c r="B23" i="58"/>
  <c r="B24" i="58"/>
  <c r="B25" i="58"/>
  <c r="B26" i="58"/>
  <c r="B27" i="58"/>
  <c r="B28" i="58"/>
  <c r="B17" i="58"/>
  <c r="B29" i="59"/>
  <c r="C29" i="59"/>
  <c r="C54" i="59" s="1"/>
  <c r="D29" i="59"/>
  <c r="D54" i="59" s="1"/>
  <c r="E29" i="59"/>
  <c r="E54" i="59" s="1"/>
  <c r="F29" i="59"/>
  <c r="F54" i="59" s="1"/>
  <c r="G29" i="59"/>
  <c r="G54" i="59" s="1"/>
  <c r="H29" i="59"/>
  <c r="I29" i="59"/>
  <c r="J29" i="59"/>
  <c r="K29" i="59"/>
  <c r="L29" i="59"/>
  <c r="M29" i="59"/>
  <c r="B54" i="59"/>
  <c r="H54" i="59"/>
  <c r="I54" i="59"/>
  <c r="J54" i="59"/>
  <c r="K54" i="59"/>
  <c r="L54" i="59"/>
  <c r="M54" i="59"/>
  <c r="C75" i="53"/>
  <c r="D75" i="53"/>
  <c r="E75" i="53"/>
  <c r="F75" i="53"/>
  <c r="G75" i="53"/>
  <c r="H75" i="53"/>
  <c r="I75" i="53"/>
  <c r="J75" i="53"/>
  <c r="K75" i="53"/>
  <c r="N30" i="53"/>
  <c r="B6" i="53"/>
  <c r="B7" i="53"/>
  <c r="B8" i="53"/>
  <c r="B10" i="53"/>
  <c r="B11" i="53"/>
  <c r="B13" i="53" s="1"/>
  <c r="B12" i="53"/>
  <c r="B15" i="53"/>
  <c r="B16" i="53"/>
  <c r="B19" i="53"/>
  <c r="B21" i="53" s="1"/>
  <c r="B20" i="53"/>
  <c r="B22" i="53"/>
  <c r="C5" i="53"/>
  <c r="D5" i="53"/>
  <c r="E5" i="53"/>
  <c r="F5" i="53"/>
  <c r="G5" i="53"/>
  <c r="H5" i="53"/>
  <c r="I5" i="53"/>
  <c r="J5" i="53"/>
  <c r="K5" i="53"/>
  <c r="L5" i="53"/>
  <c r="M5" i="53"/>
  <c r="D6" i="53"/>
  <c r="E6" i="53"/>
  <c r="F6" i="53"/>
  <c r="G6" i="53"/>
  <c r="H6" i="53"/>
  <c r="I6" i="53"/>
  <c r="J6" i="53"/>
  <c r="K6" i="53"/>
  <c r="L6" i="53"/>
  <c r="M6" i="53"/>
  <c r="D7" i="53"/>
  <c r="E7" i="53"/>
  <c r="F7" i="53"/>
  <c r="G7" i="53"/>
  <c r="H7" i="53"/>
  <c r="I7" i="53"/>
  <c r="J7" i="53"/>
  <c r="K7" i="53"/>
  <c r="L7" i="53"/>
  <c r="M7" i="53"/>
  <c r="D8" i="53"/>
  <c r="E8" i="53"/>
  <c r="F8" i="53"/>
  <c r="G8" i="53"/>
  <c r="H8" i="53"/>
  <c r="I8" i="53"/>
  <c r="J8" i="53"/>
  <c r="K8" i="53"/>
  <c r="L8" i="53"/>
  <c r="M8" i="53"/>
  <c r="D10" i="53"/>
  <c r="E10" i="53"/>
  <c r="F10" i="53"/>
  <c r="G10" i="53"/>
  <c r="H10" i="53"/>
  <c r="I10" i="53"/>
  <c r="J10" i="53"/>
  <c r="K10" i="53"/>
  <c r="L10" i="53"/>
  <c r="M10" i="53"/>
  <c r="D11" i="53"/>
  <c r="E11" i="53"/>
  <c r="F11" i="53"/>
  <c r="G11" i="53"/>
  <c r="H11" i="53"/>
  <c r="I11" i="53"/>
  <c r="J11" i="53"/>
  <c r="K11" i="53"/>
  <c r="L11" i="53"/>
  <c r="M11" i="53"/>
  <c r="D12" i="53"/>
  <c r="E12" i="53"/>
  <c r="F12" i="53"/>
  <c r="G12" i="53"/>
  <c r="H12" i="53"/>
  <c r="I12" i="53"/>
  <c r="J12" i="53"/>
  <c r="K12" i="53"/>
  <c r="L12" i="53"/>
  <c r="M12" i="53"/>
  <c r="D13" i="53"/>
  <c r="E13" i="53"/>
  <c r="F13" i="53"/>
  <c r="G13" i="53"/>
  <c r="H13" i="53"/>
  <c r="I13" i="53"/>
  <c r="J13" i="53"/>
  <c r="K13" i="53"/>
  <c r="L13" i="53"/>
  <c r="M13" i="53"/>
  <c r="C15" i="53"/>
  <c r="D15" i="53"/>
  <c r="E15" i="53"/>
  <c r="F15" i="53"/>
  <c r="G15" i="53"/>
  <c r="H15" i="53"/>
  <c r="I15" i="53"/>
  <c r="J15" i="53"/>
  <c r="K15" i="53"/>
  <c r="L15" i="53"/>
  <c r="M15" i="53"/>
  <c r="C16" i="53"/>
  <c r="D16" i="53"/>
  <c r="E16" i="53"/>
  <c r="F16" i="53"/>
  <c r="G16" i="53"/>
  <c r="H16" i="53"/>
  <c r="I16" i="53"/>
  <c r="J16" i="53"/>
  <c r="K16" i="53"/>
  <c r="L16" i="53"/>
  <c r="M16" i="53"/>
  <c r="C19" i="53"/>
  <c r="D19" i="53"/>
  <c r="D21" i="53" s="1"/>
  <c r="E19" i="53"/>
  <c r="E21" i="53" s="1"/>
  <c r="F19" i="53"/>
  <c r="F21" i="53" s="1"/>
  <c r="G19" i="53"/>
  <c r="G21" i="53" s="1"/>
  <c r="H19" i="53"/>
  <c r="H21" i="53" s="1"/>
  <c r="I19" i="53"/>
  <c r="I21" i="53" s="1"/>
  <c r="J19" i="53"/>
  <c r="J21" i="53" s="1"/>
  <c r="K19" i="53"/>
  <c r="K21" i="53" s="1"/>
  <c r="L19" i="53"/>
  <c r="L21" i="53" s="1"/>
  <c r="M19" i="53"/>
  <c r="M21" i="53" s="1"/>
  <c r="C20" i="53"/>
  <c r="D20" i="53"/>
  <c r="E20" i="53"/>
  <c r="F20" i="53"/>
  <c r="G20" i="53"/>
  <c r="H20" i="53"/>
  <c r="I20" i="53"/>
  <c r="J20" i="53"/>
  <c r="K20" i="53"/>
  <c r="L20" i="53"/>
  <c r="M20" i="53"/>
  <c r="D22" i="53"/>
  <c r="E22" i="53"/>
  <c r="F22" i="53"/>
  <c r="G22" i="53"/>
  <c r="H22" i="53"/>
  <c r="I22" i="53"/>
  <c r="J22" i="53"/>
  <c r="K22" i="53"/>
  <c r="L22" i="53"/>
  <c r="M22" i="53"/>
  <c r="B56" i="53"/>
  <c r="B57" i="53"/>
  <c r="B58" i="53"/>
  <c r="B61" i="53"/>
  <c r="B62" i="53"/>
  <c r="B63" i="53"/>
  <c r="B65" i="53"/>
  <c r="B66" i="53"/>
  <c r="B69" i="53"/>
  <c r="B71" i="53" s="1"/>
  <c r="B70" i="53"/>
  <c r="B72" i="53"/>
  <c r="B55" i="53"/>
  <c r="C40" i="53"/>
  <c r="D40" i="53"/>
  <c r="E40" i="53"/>
  <c r="F40" i="53"/>
  <c r="G40" i="53"/>
  <c r="H40" i="53"/>
  <c r="I40" i="53"/>
  <c r="J40" i="53"/>
  <c r="K40" i="53"/>
  <c r="L40" i="53"/>
  <c r="M40" i="53"/>
  <c r="C41" i="53"/>
  <c r="D41" i="53"/>
  <c r="E41" i="53"/>
  <c r="F41" i="53"/>
  <c r="G41" i="53"/>
  <c r="H41" i="53"/>
  <c r="I41" i="53"/>
  <c r="J41" i="53"/>
  <c r="K41" i="53"/>
  <c r="L41" i="53"/>
  <c r="M41" i="53"/>
  <c r="C44" i="53"/>
  <c r="C46" i="53" s="1"/>
  <c r="D44" i="53"/>
  <c r="D46" i="53" s="1"/>
  <c r="E44" i="53"/>
  <c r="E46" i="53" s="1"/>
  <c r="F44" i="53"/>
  <c r="F46" i="53" s="1"/>
  <c r="G44" i="53"/>
  <c r="G46" i="53" s="1"/>
  <c r="H44" i="53"/>
  <c r="H46" i="53" s="1"/>
  <c r="I44" i="53"/>
  <c r="I46" i="53" s="1"/>
  <c r="J44" i="53"/>
  <c r="J46" i="53" s="1"/>
  <c r="K44" i="53"/>
  <c r="K46" i="53" s="1"/>
  <c r="L44" i="53"/>
  <c r="L46" i="53" s="1"/>
  <c r="M44" i="53"/>
  <c r="M46" i="53" s="1"/>
  <c r="C45" i="53"/>
  <c r="D45" i="53"/>
  <c r="E45" i="53"/>
  <c r="F45" i="53"/>
  <c r="G45" i="53"/>
  <c r="H45" i="53"/>
  <c r="I45" i="53"/>
  <c r="J45" i="53"/>
  <c r="K45" i="53"/>
  <c r="L45" i="53"/>
  <c r="M45" i="53"/>
  <c r="B45" i="53"/>
  <c r="B44" i="53"/>
  <c r="B41" i="53"/>
  <c r="B40" i="53"/>
  <c r="B33" i="53"/>
  <c r="B32" i="53"/>
  <c r="B31" i="53"/>
  <c r="D55" i="53"/>
  <c r="E55" i="53"/>
  <c r="F55" i="53"/>
  <c r="G55" i="53"/>
  <c r="H55" i="53"/>
  <c r="I55" i="53"/>
  <c r="J55" i="53"/>
  <c r="K55" i="53"/>
  <c r="L55" i="53"/>
  <c r="M55" i="53"/>
  <c r="D56" i="53"/>
  <c r="E56" i="53"/>
  <c r="F56" i="53"/>
  <c r="G56" i="53"/>
  <c r="H56" i="53"/>
  <c r="I56" i="53"/>
  <c r="J56" i="53"/>
  <c r="C65" i="53"/>
  <c r="D65" i="53"/>
  <c r="E65" i="53"/>
  <c r="F65" i="53"/>
  <c r="G65" i="53"/>
  <c r="H65" i="53"/>
  <c r="I65" i="53"/>
  <c r="J65" i="53"/>
  <c r="K65" i="53"/>
  <c r="L65" i="53"/>
  <c r="M65" i="53"/>
  <c r="C66" i="53"/>
  <c r="D66" i="53"/>
  <c r="E66" i="53"/>
  <c r="F66" i="53"/>
  <c r="G66" i="53"/>
  <c r="H66" i="53"/>
  <c r="I66" i="53"/>
  <c r="J66" i="53"/>
  <c r="K66" i="53"/>
  <c r="L66" i="53"/>
  <c r="M66" i="53"/>
  <c r="C69" i="53"/>
  <c r="C71" i="53" s="1"/>
  <c r="D69" i="53"/>
  <c r="D71" i="53" s="1"/>
  <c r="E69" i="53"/>
  <c r="E71" i="53" s="1"/>
  <c r="F69" i="53"/>
  <c r="F71" i="53" s="1"/>
  <c r="G69" i="53"/>
  <c r="G71" i="53" s="1"/>
  <c r="H69" i="53"/>
  <c r="H71" i="53" s="1"/>
  <c r="I69" i="53"/>
  <c r="I71" i="53" s="1"/>
  <c r="J69" i="53"/>
  <c r="J71" i="53" s="1"/>
  <c r="K69" i="53"/>
  <c r="K71" i="53" s="1"/>
  <c r="L69" i="53"/>
  <c r="L71" i="53" s="1"/>
  <c r="M69" i="53"/>
  <c r="M71" i="53" s="1"/>
  <c r="C70" i="53"/>
  <c r="D70" i="53"/>
  <c r="E70" i="53"/>
  <c r="F70" i="53"/>
  <c r="G70" i="53"/>
  <c r="H70" i="53"/>
  <c r="I70" i="53"/>
  <c r="J70" i="53"/>
  <c r="K70" i="53"/>
  <c r="L70" i="53"/>
  <c r="M70" i="53"/>
  <c r="N35" i="52"/>
  <c r="N36" i="52"/>
  <c r="N37" i="52"/>
  <c r="N38" i="52"/>
  <c r="N40" i="52"/>
  <c r="N41" i="52"/>
  <c r="N44" i="52"/>
  <c r="N45" i="52"/>
  <c r="N46" i="52"/>
  <c r="N47" i="52"/>
  <c r="N48" i="52"/>
  <c r="N50" i="52"/>
  <c r="N31" i="52"/>
  <c r="N32" i="52"/>
  <c r="N33" i="52"/>
  <c r="D30" i="53"/>
  <c r="E30" i="53"/>
  <c r="F30" i="53"/>
  <c r="G30" i="53"/>
  <c r="H30" i="53"/>
  <c r="I30" i="53"/>
  <c r="J30" i="53"/>
  <c r="K30" i="53"/>
  <c r="L30" i="53"/>
  <c r="M30" i="53"/>
  <c r="B30" i="53"/>
  <c r="C31" i="52"/>
  <c r="D31" i="52"/>
  <c r="E31" i="52"/>
  <c r="F31" i="52"/>
  <c r="G31" i="52"/>
  <c r="H31" i="52"/>
  <c r="I31" i="52"/>
  <c r="J31" i="52"/>
  <c r="K31" i="52"/>
  <c r="L31" i="52"/>
  <c r="M31" i="52"/>
  <c r="C32" i="52"/>
  <c r="D32" i="52"/>
  <c r="E32" i="52"/>
  <c r="F32" i="52"/>
  <c r="G32" i="52"/>
  <c r="H32" i="52"/>
  <c r="I32" i="52"/>
  <c r="J32" i="52"/>
  <c r="K32" i="52"/>
  <c r="L32" i="52"/>
  <c r="M32" i="52"/>
  <c r="C33" i="52"/>
  <c r="D33" i="52"/>
  <c r="E33" i="52"/>
  <c r="F33" i="52"/>
  <c r="G33" i="52"/>
  <c r="H33" i="52"/>
  <c r="I33" i="52"/>
  <c r="J33" i="52"/>
  <c r="K33" i="52"/>
  <c r="L33" i="52"/>
  <c r="M33" i="52"/>
  <c r="C35" i="52"/>
  <c r="D35" i="52"/>
  <c r="E35" i="52"/>
  <c r="F35" i="52"/>
  <c r="G35" i="52"/>
  <c r="H35" i="52"/>
  <c r="I35" i="52"/>
  <c r="J35" i="52"/>
  <c r="K35" i="52"/>
  <c r="L35" i="52"/>
  <c r="M35" i="52"/>
  <c r="C36" i="52"/>
  <c r="D36" i="52"/>
  <c r="E36" i="52"/>
  <c r="F36" i="52"/>
  <c r="G36" i="52"/>
  <c r="H36" i="52"/>
  <c r="I36" i="52"/>
  <c r="J36" i="52"/>
  <c r="K36" i="52"/>
  <c r="L36" i="52"/>
  <c r="M36" i="52"/>
  <c r="C37" i="52"/>
  <c r="D37" i="52"/>
  <c r="E37" i="52"/>
  <c r="F37" i="52"/>
  <c r="G37" i="52"/>
  <c r="H37" i="52"/>
  <c r="I37" i="52"/>
  <c r="J37" i="52"/>
  <c r="K37" i="52"/>
  <c r="L37" i="52"/>
  <c r="M37" i="52"/>
  <c r="C38" i="52"/>
  <c r="D38" i="52"/>
  <c r="E38" i="52"/>
  <c r="F38" i="52"/>
  <c r="G38" i="52"/>
  <c r="H38" i="52"/>
  <c r="I38" i="52"/>
  <c r="J38" i="52"/>
  <c r="K38" i="52"/>
  <c r="L38" i="52"/>
  <c r="M38" i="52"/>
  <c r="C40" i="52"/>
  <c r="D40" i="52"/>
  <c r="E40" i="52"/>
  <c r="F40" i="52"/>
  <c r="G40" i="52"/>
  <c r="H40" i="52"/>
  <c r="I40" i="52"/>
  <c r="J40" i="52"/>
  <c r="K40" i="52"/>
  <c r="L40" i="52"/>
  <c r="M40" i="52"/>
  <c r="C41" i="52"/>
  <c r="D41" i="52"/>
  <c r="E41" i="52"/>
  <c r="F41" i="52"/>
  <c r="G41" i="52"/>
  <c r="H41" i="52"/>
  <c r="I41" i="52"/>
  <c r="J41" i="52"/>
  <c r="K41" i="52"/>
  <c r="L41" i="52"/>
  <c r="M41" i="52"/>
  <c r="C44" i="52"/>
  <c r="C46" i="52" s="1"/>
  <c r="D44" i="52"/>
  <c r="D46" i="52" s="1"/>
  <c r="E44" i="52"/>
  <c r="E46" i="52" s="1"/>
  <c r="F44" i="52"/>
  <c r="F46" i="52" s="1"/>
  <c r="G44" i="52"/>
  <c r="G46" i="52" s="1"/>
  <c r="H44" i="52"/>
  <c r="H46" i="52" s="1"/>
  <c r="I44" i="52"/>
  <c r="I46" i="52" s="1"/>
  <c r="J44" i="52"/>
  <c r="J46" i="52" s="1"/>
  <c r="K44" i="52"/>
  <c r="K46" i="52" s="1"/>
  <c r="L44" i="52"/>
  <c r="L46" i="52" s="1"/>
  <c r="M44" i="52"/>
  <c r="M46" i="52" s="1"/>
  <c r="C45" i="52"/>
  <c r="D45" i="52"/>
  <c r="E45" i="52"/>
  <c r="F45" i="52"/>
  <c r="G45" i="52"/>
  <c r="H45" i="52"/>
  <c r="I45" i="52"/>
  <c r="J45" i="52"/>
  <c r="K45" i="52"/>
  <c r="L45" i="52"/>
  <c r="M45" i="52"/>
  <c r="C47" i="52"/>
  <c r="D47" i="52"/>
  <c r="E47" i="52"/>
  <c r="F47" i="52"/>
  <c r="G47" i="52"/>
  <c r="H47" i="52"/>
  <c r="I47" i="52"/>
  <c r="J47" i="52"/>
  <c r="K47" i="52"/>
  <c r="L47" i="52"/>
  <c r="M47" i="52"/>
  <c r="B45" i="52"/>
  <c r="B44" i="52"/>
  <c r="B46" i="52" s="1"/>
  <c r="B41" i="52"/>
  <c r="B40" i="52"/>
  <c r="B33" i="52"/>
  <c r="B47" i="52" s="1"/>
  <c r="B32" i="52"/>
  <c r="B37" i="52" s="1"/>
  <c r="B31" i="52"/>
  <c r="N55" i="52"/>
  <c r="G2" i="53"/>
  <c r="F2" i="53"/>
  <c r="E2" i="53"/>
  <c r="B5" i="53"/>
  <c r="C55" i="52"/>
  <c r="D55" i="52"/>
  <c r="E55" i="52"/>
  <c r="F55" i="52"/>
  <c r="G55" i="52"/>
  <c r="H55" i="52"/>
  <c r="I55" i="52"/>
  <c r="J55" i="52"/>
  <c r="K55" i="52"/>
  <c r="L55" i="52"/>
  <c r="M55" i="52"/>
  <c r="B55" i="52"/>
  <c r="N30" i="52"/>
  <c r="N25" i="52"/>
  <c r="N23" i="52"/>
  <c r="N21" i="52"/>
  <c r="N19" i="52"/>
  <c r="C30" i="52"/>
  <c r="D30" i="52"/>
  <c r="E30" i="52"/>
  <c r="F30" i="52"/>
  <c r="G30" i="52"/>
  <c r="H30" i="52"/>
  <c r="I30" i="52"/>
  <c r="J30" i="52"/>
  <c r="K30" i="52"/>
  <c r="L30" i="52"/>
  <c r="M30" i="52"/>
  <c r="B30" i="52"/>
  <c r="C12" i="52"/>
  <c r="D12" i="52"/>
  <c r="E12" i="52"/>
  <c r="F12" i="52"/>
  <c r="G12" i="52"/>
  <c r="H12" i="52"/>
  <c r="I12" i="52"/>
  <c r="J12" i="52"/>
  <c r="K12" i="52"/>
  <c r="L12" i="52"/>
  <c r="M12" i="52"/>
  <c r="C22" i="52"/>
  <c r="D22" i="52"/>
  <c r="E22" i="52"/>
  <c r="F22" i="52"/>
  <c r="G22" i="52"/>
  <c r="H22" i="52"/>
  <c r="I22" i="52"/>
  <c r="J22" i="52"/>
  <c r="K22" i="52"/>
  <c r="L22" i="52"/>
  <c r="M22" i="52"/>
  <c r="B22" i="52"/>
  <c r="C23" i="52"/>
  <c r="D23" i="52"/>
  <c r="E23" i="52"/>
  <c r="F23" i="52"/>
  <c r="G23" i="52"/>
  <c r="H23" i="52"/>
  <c r="I23" i="52"/>
  <c r="J23" i="52"/>
  <c r="K23" i="52"/>
  <c r="L23" i="52"/>
  <c r="M23" i="52"/>
  <c r="B12" i="52"/>
  <c r="C20" i="52"/>
  <c r="D20" i="52"/>
  <c r="E20" i="52"/>
  <c r="F20" i="52"/>
  <c r="G20" i="52"/>
  <c r="H20" i="52"/>
  <c r="I20" i="52"/>
  <c r="J20" i="52"/>
  <c r="K20" i="52"/>
  <c r="L20" i="52"/>
  <c r="M20" i="52"/>
  <c r="B20" i="52"/>
  <c r="N16" i="52"/>
  <c r="N15" i="52"/>
  <c r="C15" i="52"/>
  <c r="D15" i="52"/>
  <c r="E15" i="52"/>
  <c r="F15" i="52"/>
  <c r="G15" i="52"/>
  <c r="H15" i="52"/>
  <c r="I15" i="52"/>
  <c r="J15" i="52"/>
  <c r="K15" i="52"/>
  <c r="L15" i="52"/>
  <c r="M15" i="52"/>
  <c r="B15" i="52"/>
  <c r="C19" i="52"/>
  <c r="D19" i="52"/>
  <c r="E19" i="52"/>
  <c r="F19" i="52"/>
  <c r="G19" i="52"/>
  <c r="H19" i="52"/>
  <c r="I19" i="52"/>
  <c r="J19" i="52"/>
  <c r="K19" i="52"/>
  <c r="L19" i="52"/>
  <c r="M19" i="52"/>
  <c r="B19" i="52"/>
  <c r="C16" i="52"/>
  <c r="D16" i="52"/>
  <c r="E16" i="52"/>
  <c r="F16" i="52"/>
  <c r="G16" i="52"/>
  <c r="H16" i="52"/>
  <c r="I16" i="52"/>
  <c r="J16" i="52"/>
  <c r="K16" i="52"/>
  <c r="L16" i="52"/>
  <c r="M16" i="52"/>
  <c r="B16" i="52"/>
  <c r="C13" i="52"/>
  <c r="D13" i="52"/>
  <c r="E13" i="52"/>
  <c r="F13" i="52"/>
  <c r="G13" i="52"/>
  <c r="H13" i="52"/>
  <c r="I13" i="52"/>
  <c r="J13" i="52"/>
  <c r="K13" i="52"/>
  <c r="L13" i="52"/>
  <c r="M13" i="52"/>
  <c r="B13" i="52"/>
  <c r="N12" i="52"/>
  <c r="N13" i="52" s="1"/>
  <c r="N11" i="52"/>
  <c r="C11" i="52"/>
  <c r="D11" i="52"/>
  <c r="E11" i="52"/>
  <c r="F11" i="52"/>
  <c r="G11" i="52"/>
  <c r="H11" i="52"/>
  <c r="I11" i="52"/>
  <c r="J11" i="52"/>
  <c r="K11" i="52"/>
  <c r="L11" i="52"/>
  <c r="M11" i="52"/>
  <c r="B11" i="52"/>
  <c r="C6" i="52"/>
  <c r="D6" i="52"/>
  <c r="E6" i="52"/>
  <c r="F6" i="52"/>
  <c r="G6" i="52"/>
  <c r="H6" i="52"/>
  <c r="I6" i="52"/>
  <c r="J6" i="52"/>
  <c r="K6" i="52"/>
  <c r="L6" i="52"/>
  <c r="M6" i="52"/>
  <c r="C10" i="52"/>
  <c r="D10" i="52"/>
  <c r="E10" i="52"/>
  <c r="F10" i="52"/>
  <c r="G10" i="52"/>
  <c r="H10" i="52"/>
  <c r="I10" i="52"/>
  <c r="J10" i="52"/>
  <c r="K10" i="52"/>
  <c r="L10" i="52"/>
  <c r="M10" i="52"/>
  <c r="B10" i="52"/>
  <c r="N8" i="52"/>
  <c r="C8" i="52"/>
  <c r="D8" i="52"/>
  <c r="E8" i="52"/>
  <c r="F8" i="52"/>
  <c r="G8" i="52"/>
  <c r="H8" i="52"/>
  <c r="I8" i="52"/>
  <c r="J8" i="52"/>
  <c r="K8" i="52"/>
  <c r="L8" i="52"/>
  <c r="M8" i="52"/>
  <c r="B8" i="52"/>
  <c r="C7" i="52"/>
  <c r="D7" i="52"/>
  <c r="E7" i="52"/>
  <c r="F7" i="52"/>
  <c r="G7" i="52"/>
  <c r="H7" i="52"/>
  <c r="I7" i="52"/>
  <c r="J7" i="52"/>
  <c r="K7" i="52"/>
  <c r="L7" i="52"/>
  <c r="M7" i="52"/>
  <c r="B7" i="52"/>
  <c r="N7" i="52"/>
  <c r="B6" i="52"/>
  <c r="N5" i="52"/>
  <c r="G2" i="52"/>
  <c r="F2" i="52"/>
  <c r="E2" i="52"/>
  <c r="C5" i="52"/>
  <c r="D5" i="52"/>
  <c r="E5" i="52"/>
  <c r="F5" i="52"/>
  <c r="G5" i="52"/>
  <c r="H5" i="52"/>
  <c r="I5" i="52"/>
  <c r="J5" i="52"/>
  <c r="K5" i="52"/>
  <c r="L5" i="52"/>
  <c r="M5" i="52"/>
  <c r="B5" i="52"/>
  <c r="I39" i="51"/>
  <c r="I40" i="51"/>
  <c r="I41" i="51"/>
  <c r="I42" i="51"/>
  <c r="I43" i="51"/>
  <c r="I44" i="51"/>
  <c r="I45" i="51"/>
  <c r="I46" i="51"/>
  <c r="I47" i="51"/>
  <c r="I48" i="51"/>
  <c r="I49" i="51"/>
  <c r="I38" i="51"/>
  <c r="I50" i="51"/>
  <c r="H39" i="51"/>
  <c r="H40" i="51"/>
  <c r="H41" i="51"/>
  <c r="H42" i="51"/>
  <c r="H43" i="51"/>
  <c r="H44" i="51"/>
  <c r="H45" i="51"/>
  <c r="H46" i="51"/>
  <c r="H47" i="51"/>
  <c r="H48" i="51"/>
  <c r="H49" i="51"/>
  <c r="H38" i="51"/>
  <c r="F53" i="51"/>
  <c r="F51" i="51"/>
  <c r="F27" i="51"/>
  <c r="F28" i="51"/>
  <c r="F29" i="51"/>
  <c r="F30" i="51"/>
  <c r="F31" i="51"/>
  <c r="F32" i="51"/>
  <c r="F33" i="51"/>
  <c r="F34" i="51"/>
  <c r="F35" i="51"/>
  <c r="F36" i="51"/>
  <c r="F37" i="51"/>
  <c r="F26" i="51"/>
  <c r="F15" i="51"/>
  <c r="F16" i="51"/>
  <c r="F17" i="51"/>
  <c r="F18" i="51"/>
  <c r="F19" i="51"/>
  <c r="F20" i="51"/>
  <c r="F21" i="51"/>
  <c r="F22" i="51"/>
  <c r="F23" i="51"/>
  <c r="F24" i="51"/>
  <c r="F25" i="51"/>
  <c r="F14" i="51"/>
  <c r="F3" i="51"/>
  <c r="F4" i="51"/>
  <c r="F5" i="51"/>
  <c r="F6" i="51"/>
  <c r="F7" i="51"/>
  <c r="F8" i="51"/>
  <c r="F9" i="51"/>
  <c r="F10" i="51"/>
  <c r="F11" i="51"/>
  <c r="F12" i="51"/>
  <c r="F13" i="51"/>
  <c r="F2" i="51"/>
  <c r="C53" i="51"/>
  <c r="C55" i="51"/>
  <c r="E51" i="51"/>
  <c r="E3" i="51"/>
  <c r="E4" i="51"/>
  <c r="E5" i="51"/>
  <c r="E6" i="51"/>
  <c r="E7" i="51"/>
  <c r="E8" i="51"/>
  <c r="E9" i="51"/>
  <c r="E10" i="51"/>
  <c r="E11" i="51"/>
  <c r="E12" i="51"/>
  <c r="E13" i="51"/>
  <c r="E2" i="51"/>
  <c r="D27" i="51"/>
  <c r="D28" i="51"/>
  <c r="D29" i="51"/>
  <c r="D30" i="51"/>
  <c r="D31" i="51"/>
  <c r="D32" i="51"/>
  <c r="D33" i="51"/>
  <c r="D34" i="51"/>
  <c r="D35" i="51"/>
  <c r="D36" i="51"/>
  <c r="D37" i="51"/>
  <c r="D26" i="51"/>
  <c r="D15" i="51"/>
  <c r="D16" i="51"/>
  <c r="D17" i="51"/>
  <c r="D18" i="51"/>
  <c r="D19" i="51"/>
  <c r="D20" i="51"/>
  <c r="D21" i="51"/>
  <c r="D22" i="51"/>
  <c r="D23" i="51"/>
  <c r="D24" i="51"/>
  <c r="D25" i="51"/>
  <c r="D14" i="51"/>
  <c r="D3" i="51"/>
  <c r="D4" i="51"/>
  <c r="D5" i="51"/>
  <c r="D6" i="51"/>
  <c r="D7" i="51"/>
  <c r="D8" i="51"/>
  <c r="D9" i="51"/>
  <c r="D10" i="51"/>
  <c r="D11" i="51"/>
  <c r="D12" i="51"/>
  <c r="D13" i="51"/>
  <c r="D2" i="51"/>
  <c r="B34" i="51"/>
  <c r="C37" i="51" s="1"/>
  <c r="C51" i="51" s="1"/>
  <c r="B37" i="51"/>
  <c r="B36" i="51"/>
  <c r="B35" i="51"/>
  <c r="B33" i="51"/>
  <c r="B32" i="51"/>
  <c r="B31" i="51"/>
  <c r="B30" i="51"/>
  <c r="B29" i="51"/>
  <c r="B28" i="51"/>
  <c r="B27" i="51"/>
  <c r="B26" i="51"/>
  <c r="B25" i="51"/>
  <c r="B24" i="51"/>
  <c r="B23" i="51"/>
  <c r="B22" i="51"/>
  <c r="B21" i="51"/>
  <c r="B20" i="51"/>
  <c r="B19" i="51"/>
  <c r="B18" i="51"/>
  <c r="B17" i="51"/>
  <c r="B16" i="51"/>
  <c r="B15" i="51"/>
  <c r="B14" i="51"/>
  <c r="C25" i="51" s="1"/>
  <c r="B13" i="51"/>
  <c r="B12" i="51"/>
  <c r="B11" i="51"/>
  <c r="B10" i="51"/>
  <c r="B9" i="51"/>
  <c r="B8" i="51"/>
  <c r="B7" i="51"/>
  <c r="B6" i="51"/>
  <c r="B5" i="51"/>
  <c r="B4" i="51"/>
  <c r="B3" i="51"/>
  <c r="B2" i="51"/>
  <c r="C13" i="51" s="1"/>
  <c r="C54" i="53"/>
  <c r="D54" i="53"/>
  <c r="E54" i="53"/>
  <c r="F54" i="53"/>
  <c r="G54" i="53"/>
  <c r="H54" i="53"/>
  <c r="I54" i="53"/>
  <c r="J54" i="53"/>
  <c r="K54" i="53"/>
  <c r="L54" i="53"/>
  <c r="M54" i="53"/>
  <c r="B54" i="53"/>
  <c r="C29" i="53"/>
  <c r="D29" i="53"/>
  <c r="E29" i="53"/>
  <c r="F29" i="53"/>
  <c r="G29" i="53"/>
  <c r="H29" i="53"/>
  <c r="I29" i="53"/>
  <c r="J29" i="53"/>
  <c r="K29" i="53"/>
  <c r="L29" i="53"/>
  <c r="M29" i="53"/>
  <c r="B29" i="53"/>
  <c r="C54" i="52"/>
  <c r="D54" i="52"/>
  <c r="E54" i="52"/>
  <c r="F54" i="52"/>
  <c r="G54" i="52"/>
  <c r="H54" i="52"/>
  <c r="I54" i="52"/>
  <c r="J54" i="52"/>
  <c r="K54" i="52"/>
  <c r="L54" i="52"/>
  <c r="M54" i="52"/>
  <c r="B54" i="52"/>
  <c r="C29" i="52"/>
  <c r="D29" i="52"/>
  <c r="E29" i="52"/>
  <c r="F29" i="52"/>
  <c r="G29" i="52"/>
  <c r="H29" i="52"/>
  <c r="I29" i="52"/>
  <c r="J29" i="52"/>
  <c r="K29" i="52"/>
  <c r="L29" i="52"/>
  <c r="M29" i="52"/>
  <c r="B29" i="52"/>
  <c r="H4" i="54"/>
  <c r="D36" i="54" l="1"/>
  <c r="D34" i="54"/>
  <c r="D45" i="54"/>
  <c r="D35" i="54"/>
  <c r="D60" i="54" s="1"/>
  <c r="D15" i="54"/>
  <c r="J5" i="54"/>
  <c r="E27" i="54"/>
  <c r="I6" i="54"/>
  <c r="C21" i="54"/>
  <c r="N65" i="52"/>
  <c r="N70" i="52"/>
  <c r="C73" i="52"/>
  <c r="C75" i="52" s="1"/>
  <c r="D73" i="52"/>
  <c r="D75" i="52" s="1"/>
  <c r="E73" i="52"/>
  <c r="E75" i="52" s="1"/>
  <c r="F73" i="52"/>
  <c r="F75" i="52" s="1"/>
  <c r="G73" i="52"/>
  <c r="G75" i="52" s="1"/>
  <c r="H73" i="52"/>
  <c r="H75" i="52" s="1"/>
  <c r="I73" i="52"/>
  <c r="I75" i="52" s="1"/>
  <c r="J73" i="52"/>
  <c r="J75" i="52" s="1"/>
  <c r="K73" i="52"/>
  <c r="K75" i="52" s="1"/>
  <c r="L73" i="52"/>
  <c r="L75" i="52" s="1"/>
  <c r="M73" i="52"/>
  <c r="M75" i="52" s="1"/>
  <c r="B71" i="52"/>
  <c r="N71" i="52" s="1"/>
  <c r="N69" i="52"/>
  <c r="N66" i="52"/>
  <c r="B72" i="52"/>
  <c r="N58" i="52"/>
  <c r="B62" i="52"/>
  <c r="N62" i="52" s="1"/>
  <c r="N57" i="52"/>
  <c r="N56" i="52"/>
  <c r="B60" i="52"/>
  <c r="B61" i="52"/>
  <c r="N61" i="52" s="1"/>
  <c r="N70" i="59"/>
  <c r="E73" i="59"/>
  <c r="M73" i="59"/>
  <c r="I73" i="59"/>
  <c r="D73" i="59"/>
  <c r="J73" i="59"/>
  <c r="G73" i="59"/>
  <c r="C73" i="59"/>
  <c r="N61" i="59"/>
  <c r="L73" i="59"/>
  <c r="H73" i="59"/>
  <c r="K73" i="59"/>
  <c r="F73" i="59"/>
  <c r="N69" i="59"/>
  <c r="B71" i="59"/>
  <c r="N71" i="59" s="1"/>
  <c r="B66" i="59"/>
  <c r="N65" i="59"/>
  <c r="N60" i="59"/>
  <c r="N57" i="59"/>
  <c r="B62" i="59"/>
  <c r="M63" i="59"/>
  <c r="M75" i="59" s="1"/>
  <c r="L63" i="59"/>
  <c r="L75" i="59" s="1"/>
  <c r="K63" i="59"/>
  <c r="K75" i="59" s="1"/>
  <c r="J63" i="59"/>
  <c r="J75" i="59" s="1"/>
  <c r="I63" i="59"/>
  <c r="I75" i="59" s="1"/>
  <c r="H63" i="59"/>
  <c r="H75" i="59" s="1"/>
  <c r="G63" i="59"/>
  <c r="G75" i="59" s="1"/>
  <c r="F63" i="59"/>
  <c r="F75" i="59" s="1"/>
  <c r="E63" i="59"/>
  <c r="E75" i="59" s="1"/>
  <c r="D63" i="59"/>
  <c r="D75" i="59" s="1"/>
  <c r="C63" i="59"/>
  <c r="C75" i="59" s="1"/>
  <c r="N35" i="59"/>
  <c r="B38" i="59"/>
  <c r="H44" i="59"/>
  <c r="H45" i="59"/>
  <c r="N45" i="59" s="1"/>
  <c r="H35" i="59"/>
  <c r="H38" i="59" s="1"/>
  <c r="H36" i="59"/>
  <c r="B46" i="59"/>
  <c r="B32" i="59"/>
  <c r="B37" i="59" s="1"/>
  <c r="N20" i="53"/>
  <c r="B23" i="53"/>
  <c r="B25" i="53" s="1"/>
  <c r="C55" i="53"/>
  <c r="C56" i="53" s="1"/>
  <c r="C30" i="53"/>
  <c r="N5" i="53"/>
  <c r="C6" i="53"/>
  <c r="N6" i="53" s="1"/>
  <c r="C7" i="53"/>
  <c r="C8" i="53"/>
  <c r="C21" i="53"/>
  <c r="N19" i="53"/>
  <c r="C58" i="53"/>
  <c r="C57" i="53"/>
  <c r="N55" i="53"/>
  <c r="D57" i="53"/>
  <c r="D62" i="53" s="1"/>
  <c r="D58" i="53"/>
  <c r="D72" i="53" s="1"/>
  <c r="E57" i="53"/>
  <c r="E62" i="53" s="1"/>
  <c r="E58" i="53"/>
  <c r="E72" i="53" s="1"/>
  <c r="F57" i="53"/>
  <c r="F62" i="53" s="1"/>
  <c r="F58" i="53"/>
  <c r="F72" i="53" s="1"/>
  <c r="G58" i="53"/>
  <c r="G72" i="53" s="1"/>
  <c r="G57" i="53"/>
  <c r="G62" i="53" s="1"/>
  <c r="H57" i="53"/>
  <c r="H62" i="53" s="1"/>
  <c r="H58" i="53"/>
  <c r="H72" i="53" s="1"/>
  <c r="I57" i="53"/>
  <c r="I62" i="53" s="1"/>
  <c r="I58" i="53"/>
  <c r="I72" i="53" s="1"/>
  <c r="J58" i="53"/>
  <c r="J72" i="53" s="1"/>
  <c r="J57" i="53"/>
  <c r="J62" i="53" s="1"/>
  <c r="K58" i="53"/>
  <c r="K72" i="53" s="1"/>
  <c r="K56" i="53"/>
  <c r="K57" i="53"/>
  <c r="K62" i="53" s="1"/>
  <c r="L58" i="53"/>
  <c r="L72" i="53" s="1"/>
  <c r="L56" i="53"/>
  <c r="L57" i="53"/>
  <c r="L62" i="53" s="1"/>
  <c r="M57" i="53"/>
  <c r="M62" i="53" s="1"/>
  <c r="M56" i="53"/>
  <c r="M58" i="53"/>
  <c r="M72" i="53" s="1"/>
  <c r="D61" i="53"/>
  <c r="D60" i="53"/>
  <c r="D63" i="53" s="1"/>
  <c r="E60" i="53"/>
  <c r="E63" i="53" s="1"/>
  <c r="E61" i="53"/>
  <c r="F60" i="53"/>
  <c r="F61" i="53"/>
  <c r="G60" i="53"/>
  <c r="G61" i="53"/>
  <c r="H60" i="53"/>
  <c r="H61" i="53"/>
  <c r="I60" i="53"/>
  <c r="I61" i="53"/>
  <c r="J61" i="53"/>
  <c r="J60" i="53"/>
  <c r="J63" i="53" s="1"/>
  <c r="D31" i="53"/>
  <c r="D32" i="53"/>
  <c r="D37" i="53" s="1"/>
  <c r="D33" i="53"/>
  <c r="D47" i="53" s="1"/>
  <c r="E32" i="53"/>
  <c r="E37" i="53" s="1"/>
  <c r="E31" i="53"/>
  <c r="E33" i="53"/>
  <c r="E47" i="53" s="1"/>
  <c r="F32" i="53"/>
  <c r="F37" i="53" s="1"/>
  <c r="F31" i="53"/>
  <c r="F33" i="53"/>
  <c r="F47" i="53" s="1"/>
  <c r="G32" i="53"/>
  <c r="G37" i="53" s="1"/>
  <c r="G31" i="53"/>
  <c r="G33" i="53"/>
  <c r="G47" i="53" s="1"/>
  <c r="H33" i="53"/>
  <c r="H47" i="53" s="1"/>
  <c r="H31" i="53"/>
  <c r="H32" i="53"/>
  <c r="H37" i="53" s="1"/>
  <c r="I31" i="53"/>
  <c r="I32" i="53"/>
  <c r="I37" i="53" s="1"/>
  <c r="I33" i="53"/>
  <c r="I47" i="53" s="1"/>
  <c r="J31" i="53"/>
  <c r="J33" i="53"/>
  <c r="J47" i="53" s="1"/>
  <c r="J32" i="53"/>
  <c r="J37" i="53" s="1"/>
  <c r="K33" i="53"/>
  <c r="K47" i="53" s="1"/>
  <c r="K31" i="53"/>
  <c r="K32" i="53"/>
  <c r="K37" i="53" s="1"/>
  <c r="L31" i="53"/>
  <c r="L33" i="53"/>
  <c r="L47" i="53" s="1"/>
  <c r="L32" i="53"/>
  <c r="L37" i="53" s="1"/>
  <c r="M33" i="53"/>
  <c r="M47" i="53" s="1"/>
  <c r="M31" i="53"/>
  <c r="M32" i="53"/>
  <c r="M37" i="53" s="1"/>
  <c r="D23" i="53"/>
  <c r="D25" i="53" s="1"/>
  <c r="E23" i="53"/>
  <c r="E25" i="53" s="1"/>
  <c r="F23" i="53"/>
  <c r="F25" i="53" s="1"/>
  <c r="G23" i="53"/>
  <c r="G25" i="53" s="1"/>
  <c r="H23" i="53"/>
  <c r="H25" i="53" s="1"/>
  <c r="I23" i="53"/>
  <c r="I25" i="53" s="1"/>
  <c r="J23" i="53"/>
  <c r="J25" i="53" s="1"/>
  <c r="K23" i="53"/>
  <c r="K25" i="53" s="1"/>
  <c r="L23" i="53"/>
  <c r="L25" i="53" s="1"/>
  <c r="M23" i="53"/>
  <c r="M25" i="53" s="1"/>
  <c r="B73" i="53"/>
  <c r="B75" i="53" s="1"/>
  <c r="N70" i="53"/>
  <c r="N69" i="53"/>
  <c r="N66" i="53"/>
  <c r="N45" i="53"/>
  <c r="N40" i="53"/>
  <c r="D48" i="53"/>
  <c r="E48" i="53"/>
  <c r="F48" i="53"/>
  <c r="G48" i="53"/>
  <c r="H48" i="53"/>
  <c r="I48" i="53"/>
  <c r="J48" i="53"/>
  <c r="K48" i="53"/>
  <c r="L48" i="53"/>
  <c r="M48" i="53"/>
  <c r="B46" i="53"/>
  <c r="N46" i="53" s="1"/>
  <c r="N44" i="53"/>
  <c r="N41" i="53"/>
  <c r="B47" i="53"/>
  <c r="B37" i="53"/>
  <c r="B36" i="53"/>
  <c r="B35" i="53"/>
  <c r="N16" i="53"/>
  <c r="N15" i="53"/>
  <c r="D73" i="53"/>
  <c r="E73" i="53"/>
  <c r="F73" i="53"/>
  <c r="G73" i="53"/>
  <c r="H73" i="53"/>
  <c r="I73" i="53"/>
  <c r="J73" i="53"/>
  <c r="K73" i="53"/>
  <c r="L73" i="53"/>
  <c r="M73" i="53"/>
  <c r="C48" i="52"/>
  <c r="C50" i="52" s="1"/>
  <c r="D48" i="52"/>
  <c r="D50" i="52" s="1"/>
  <c r="E48" i="52"/>
  <c r="E50" i="52" s="1"/>
  <c r="F48" i="52"/>
  <c r="F50" i="52" s="1"/>
  <c r="G48" i="52"/>
  <c r="G50" i="52" s="1"/>
  <c r="H48" i="52"/>
  <c r="H50" i="52" s="1"/>
  <c r="I48" i="52"/>
  <c r="I50" i="52" s="1"/>
  <c r="J48" i="52"/>
  <c r="J50" i="52" s="1"/>
  <c r="K48" i="52"/>
  <c r="K50" i="52" s="1"/>
  <c r="L48" i="52"/>
  <c r="L50" i="52" s="1"/>
  <c r="M48" i="52"/>
  <c r="M50" i="52" s="1"/>
  <c r="B36" i="52"/>
  <c r="B35" i="52"/>
  <c r="B38" i="52" s="1"/>
  <c r="B50" i="52" s="1"/>
  <c r="B48" i="52"/>
  <c r="B23" i="52"/>
  <c r="N22" i="52"/>
  <c r="C21" i="52"/>
  <c r="C25" i="52" s="1"/>
  <c r="E21" i="52"/>
  <c r="E25" i="52" s="1"/>
  <c r="F21" i="52"/>
  <c r="F25" i="52" s="1"/>
  <c r="G21" i="52"/>
  <c r="G25" i="52" s="1"/>
  <c r="H21" i="52"/>
  <c r="H25" i="52" s="1"/>
  <c r="I21" i="52"/>
  <c r="I25" i="52" s="1"/>
  <c r="J21" i="52"/>
  <c r="J25" i="52" s="1"/>
  <c r="K21" i="52"/>
  <c r="K25" i="52" s="1"/>
  <c r="L21" i="52"/>
  <c r="L25" i="52" s="1"/>
  <c r="D21" i="52"/>
  <c r="D25" i="52" s="1"/>
  <c r="M21" i="52"/>
  <c r="M25" i="52" s="1"/>
  <c r="B21" i="52"/>
  <c r="B25" i="52" s="1"/>
  <c r="N10" i="52"/>
  <c r="N6" i="52"/>
  <c r="D51" i="54" l="1"/>
  <c r="F50" i="54" s="1"/>
  <c r="C53" i="54" s="1"/>
  <c r="M7" i="54"/>
  <c r="I7" i="54"/>
  <c r="D22" i="54"/>
  <c r="D59" i="54"/>
  <c r="N5" i="54" s="1"/>
  <c r="L5" i="54"/>
  <c r="D61" i="54"/>
  <c r="N7" i="54" s="1"/>
  <c r="L7" i="54"/>
  <c r="F27" i="54"/>
  <c r="K5" i="54"/>
  <c r="J6" i="54"/>
  <c r="C28" i="54"/>
  <c r="N60" i="52"/>
  <c r="B63" i="52"/>
  <c r="N72" i="52"/>
  <c r="B73" i="52"/>
  <c r="N73" i="52" s="1"/>
  <c r="N66" i="59"/>
  <c r="B73" i="59"/>
  <c r="N73" i="59" s="1"/>
  <c r="N62" i="59"/>
  <c r="B63" i="59"/>
  <c r="N38" i="59"/>
  <c r="H46" i="59"/>
  <c r="H48" i="59" s="1"/>
  <c r="H50" i="59" s="1"/>
  <c r="N44" i="59"/>
  <c r="B48" i="59"/>
  <c r="B50" i="59" s="1"/>
  <c r="N46" i="59"/>
  <c r="C11" i="53"/>
  <c r="N11" i="53" s="1"/>
  <c r="C10" i="53"/>
  <c r="C61" i="53"/>
  <c r="N61" i="53" s="1"/>
  <c r="C60" i="53"/>
  <c r="N60" i="53" s="1"/>
  <c r="N56" i="53"/>
  <c r="C32" i="53"/>
  <c r="C33" i="53"/>
  <c r="C31" i="53"/>
  <c r="C12" i="53"/>
  <c r="N12" i="53" s="1"/>
  <c r="N7" i="53"/>
  <c r="C22" i="53"/>
  <c r="N22" i="53" s="1"/>
  <c r="N8" i="53"/>
  <c r="C23" i="53"/>
  <c r="N21" i="53"/>
  <c r="N58" i="53"/>
  <c r="C72" i="53"/>
  <c r="N57" i="53"/>
  <c r="C62" i="53"/>
  <c r="K61" i="53"/>
  <c r="K60" i="53"/>
  <c r="K63" i="53" s="1"/>
  <c r="L61" i="53"/>
  <c r="L60" i="53"/>
  <c r="L63" i="53" s="1"/>
  <c r="M61" i="53"/>
  <c r="M60" i="53"/>
  <c r="M63" i="53" s="1"/>
  <c r="D36" i="53"/>
  <c r="D35" i="53"/>
  <c r="D38" i="53" s="1"/>
  <c r="D50" i="53" s="1"/>
  <c r="E36" i="53"/>
  <c r="E35" i="53"/>
  <c r="F36" i="53"/>
  <c r="F35" i="53"/>
  <c r="F38" i="53" s="1"/>
  <c r="F50" i="53" s="1"/>
  <c r="G36" i="53"/>
  <c r="G35" i="53"/>
  <c r="G38" i="53" s="1"/>
  <c r="G50" i="53" s="1"/>
  <c r="H36" i="53"/>
  <c r="H35" i="53"/>
  <c r="H38" i="53" s="1"/>
  <c r="H50" i="53" s="1"/>
  <c r="I36" i="53"/>
  <c r="I35" i="53"/>
  <c r="I38" i="53" s="1"/>
  <c r="I50" i="53" s="1"/>
  <c r="J36" i="53"/>
  <c r="J35" i="53"/>
  <c r="K36" i="53"/>
  <c r="K35" i="53"/>
  <c r="K38" i="53" s="1"/>
  <c r="K50" i="53" s="1"/>
  <c r="L36" i="53"/>
  <c r="L35" i="53"/>
  <c r="L38" i="53" s="1"/>
  <c r="L50" i="53" s="1"/>
  <c r="M36" i="53"/>
  <c r="M35" i="53"/>
  <c r="M38" i="53" s="1"/>
  <c r="M50" i="53" s="1"/>
  <c r="F63" i="53"/>
  <c r="G63" i="53"/>
  <c r="H63" i="53"/>
  <c r="I63" i="53"/>
  <c r="N65" i="53"/>
  <c r="B38" i="53"/>
  <c r="B48" i="53"/>
  <c r="J7" i="54" l="1"/>
  <c r="D29" i="54"/>
  <c r="N63" i="52"/>
  <c r="N75" i="52"/>
  <c r="N63" i="59"/>
  <c r="B75" i="59"/>
  <c r="N75" i="59" s="1"/>
  <c r="N48" i="59"/>
  <c r="N50" i="59"/>
  <c r="N32" i="53"/>
  <c r="C37" i="53"/>
  <c r="N37" i="53" s="1"/>
  <c r="N33" i="53"/>
  <c r="C47" i="53"/>
  <c r="C13" i="53"/>
  <c r="N10" i="53"/>
  <c r="N31" i="53"/>
  <c r="C36" i="53"/>
  <c r="C35" i="53"/>
  <c r="N36" i="53"/>
  <c r="E38" i="53"/>
  <c r="E50" i="53" s="1"/>
  <c r="J38" i="53"/>
  <c r="J50" i="53" s="1"/>
  <c r="C25" i="53"/>
  <c r="N23" i="53"/>
  <c r="C73" i="53"/>
  <c r="N72" i="53"/>
  <c r="C63" i="53"/>
  <c r="N62" i="53"/>
  <c r="N71" i="53"/>
  <c r="B50" i="53"/>
  <c r="N25" i="53"/>
  <c r="N13" i="53"/>
  <c r="F29" i="54" l="1"/>
  <c r="G27" i="54" s="1"/>
  <c r="K7" i="54"/>
  <c r="L6" i="54"/>
  <c r="N47" i="53"/>
  <c r="C48" i="53"/>
  <c r="N48" i="53" s="1"/>
  <c r="N35" i="53"/>
  <c r="C38" i="53"/>
  <c r="N63" i="53"/>
  <c r="N73" i="53"/>
  <c r="M6" i="54" l="1"/>
  <c r="N6" i="54"/>
  <c r="N38" i="53"/>
  <c r="C50" i="53"/>
  <c r="N50" i="53" s="1"/>
</calcChain>
</file>

<file path=xl/sharedStrings.xml><?xml version="1.0" encoding="utf-8"?>
<sst xmlns="http://schemas.openxmlformats.org/spreadsheetml/2006/main" count="586" uniqueCount="213">
  <si>
    <t>Name</t>
  </si>
  <si>
    <t>Panther ID</t>
  </si>
  <si>
    <t>Do Not Alter or Delete this Worksheet or you submission cannot be graded!</t>
  </si>
  <si>
    <t>Action</t>
  </si>
  <si>
    <t>Date/Time</t>
  </si>
  <si>
    <t>Starter Sheet</t>
  </si>
  <si>
    <t>None</t>
  </si>
  <si>
    <t xml:space="preserve">Month </t>
  </si>
  <si>
    <t xml:space="preserve">Donut Information </t>
  </si>
  <si>
    <r>
      <t xml:space="preserve">Based on the below data, create the profit model for </t>
    </r>
    <r>
      <rPr>
        <b/>
        <i/>
        <sz val="12"/>
        <color theme="1"/>
        <rFont val="Calibri"/>
        <family val="2"/>
        <scheme val="minor"/>
      </rPr>
      <t>Donuts to Go.</t>
    </r>
  </si>
  <si>
    <t>Assume that each customer will buy one donut and one cup of coffee</t>
  </si>
  <si>
    <t xml:space="preserve"> </t>
  </si>
  <si>
    <t>Time period</t>
  </si>
  <si>
    <t>Revenue: Cup of Coffee</t>
  </si>
  <si>
    <t>Revenue: Donut</t>
  </si>
  <si>
    <t>Donut ingredients per donunt)</t>
  </si>
  <si>
    <t>Insurance</t>
  </si>
  <si>
    <t>Maintenance &amp; Repairs to equipment</t>
  </si>
  <si>
    <t>Marketing &amp; Promotion: Advertising</t>
  </si>
  <si>
    <t xml:space="preserve">Coffee </t>
  </si>
  <si>
    <t xml:space="preserve">Coffee cups </t>
  </si>
  <si>
    <t>Payroll:  Wages (Owner/ Manager)</t>
  </si>
  <si>
    <t>Payroll:  Wages (per Employees)</t>
  </si>
  <si>
    <t xml:space="preserve">Donut and Coffee equipment rent </t>
  </si>
  <si>
    <t>Professional Fees: Accounting</t>
  </si>
  <si>
    <t>Professional Fees: Legal</t>
  </si>
  <si>
    <t>Powdered and Liquid Beverages</t>
  </si>
  <si>
    <t>Rent</t>
  </si>
  <si>
    <t>Supplies: Office</t>
  </si>
  <si>
    <t>Utilities</t>
  </si>
  <si>
    <t>Additional Data</t>
  </si>
  <si>
    <t>Monthly Production</t>
  </si>
  <si>
    <t>Lost Sales</t>
  </si>
  <si>
    <t>Day old revenue</t>
  </si>
  <si>
    <t>High demand, % above Average</t>
  </si>
  <si>
    <t>Low Demand, % below average</t>
  </si>
  <si>
    <t>Average demand</t>
  </si>
  <si>
    <t>Month</t>
  </si>
  <si>
    <t>Demand</t>
  </si>
  <si>
    <t>Seasonal Index</t>
  </si>
  <si>
    <t>Deseasonalized</t>
  </si>
  <si>
    <t>Regression Output</t>
  </si>
  <si>
    <t>Deseasonalized forecast</t>
  </si>
  <si>
    <t>CURRENT OPERATIONS</t>
  </si>
  <si>
    <t>AVERAGE DEMAND</t>
  </si>
  <si>
    <t>satisfied demand</t>
  </si>
  <si>
    <t xml:space="preserve">Extra donuts(over) </t>
  </si>
  <si>
    <t>Unsatisfied customers (short)</t>
  </si>
  <si>
    <t>Revenue</t>
  </si>
  <si>
    <t xml:space="preserve">coffee </t>
  </si>
  <si>
    <t>donut</t>
  </si>
  <si>
    <t xml:space="preserve">Revenue from day old sales </t>
  </si>
  <si>
    <t>Total Revenue</t>
  </si>
  <si>
    <t>Expenses</t>
  </si>
  <si>
    <t>Fixed Expenses</t>
  </si>
  <si>
    <t>Total Fixed Expense</t>
  </si>
  <si>
    <t>Variable Expenses</t>
  </si>
  <si>
    <t>Coffee Variable expense</t>
  </si>
  <si>
    <t>Donut Variable expense</t>
  </si>
  <si>
    <t>Total Variable Expenses</t>
  </si>
  <si>
    <t>Expenses: due to lost sales</t>
  </si>
  <si>
    <t>Total  Expenses</t>
  </si>
  <si>
    <t>Profit Donuts and Coffee</t>
  </si>
  <si>
    <t>HIGH DEMAND</t>
  </si>
  <si>
    <t>LOW DEMAND</t>
  </si>
  <si>
    <t>PAYOFF TABLE</t>
  </si>
  <si>
    <t>State of Nature</t>
  </si>
  <si>
    <t xml:space="preserve">Summary of Results </t>
  </si>
  <si>
    <t xml:space="preserve">Methods </t>
  </si>
  <si>
    <t>Decision Alternatives</t>
  </si>
  <si>
    <t xml:space="preserve">Low </t>
  </si>
  <si>
    <t xml:space="preserve">Average </t>
  </si>
  <si>
    <t xml:space="preserve">High </t>
  </si>
  <si>
    <t>Maximin</t>
  </si>
  <si>
    <t>MaxiMax</t>
  </si>
  <si>
    <t xml:space="preserve">Laplace </t>
  </si>
  <si>
    <t>MinMax regret</t>
  </si>
  <si>
    <t>EVUII</t>
  </si>
  <si>
    <t>EOL</t>
  </si>
  <si>
    <t>DM UNDER IGNORANCE</t>
  </si>
  <si>
    <t>Kiana should choose to:</t>
  </si>
  <si>
    <t>Maximax</t>
  </si>
  <si>
    <t>Laplace</t>
  </si>
  <si>
    <t>Minimax Regret</t>
  </si>
  <si>
    <t>Regret table</t>
  </si>
  <si>
    <t>DM UNDER RISK</t>
  </si>
  <si>
    <t>Probability</t>
  </si>
  <si>
    <t>EVUPI</t>
  </si>
  <si>
    <t>EVPI</t>
  </si>
  <si>
    <t xml:space="preserve">Total </t>
  </si>
  <si>
    <t>Monthly Fixed Expense increase</t>
  </si>
  <si>
    <t>Monthly Production Increase</t>
  </si>
  <si>
    <t>Monthly demand increase</t>
  </si>
  <si>
    <t xml:space="preserve">States of Natures </t>
  </si>
  <si>
    <r>
      <t xml:space="preserve">CLICK CELL J2 as </t>
    </r>
    <r>
      <rPr>
        <b/>
        <sz val="11"/>
        <color theme="1"/>
        <rFont val="Calibri"/>
        <family val="2"/>
        <scheme val="minor"/>
      </rPr>
      <t>output cell</t>
    </r>
    <r>
      <rPr>
        <sz val="11"/>
        <color theme="1"/>
        <rFont val="Calibri"/>
        <family val="2"/>
        <scheme val="minor"/>
      </rPr>
      <t xml:space="preserve"> for regression</t>
    </r>
  </si>
  <si>
    <t>When you move your forecast to the profit models, you must use an equation, not just copy the values</t>
  </si>
  <si>
    <t xml:space="preserve">Yearly Total </t>
  </si>
  <si>
    <t>You should be able to copy from average to high and low and then just make some modifications</t>
  </si>
  <si>
    <t>FRANCHISE</t>
  </si>
  <si>
    <t>Spring 2021</t>
  </si>
  <si>
    <t>Ahadu Solomon</t>
  </si>
  <si>
    <t>DirVer</t>
  </si>
  <si>
    <t>Welcome to Microsoft Excel version 16.53 build 912 running on Macintosh (Intel) Version 11.2.3 (Build 20D91)!</t>
  </si>
  <si>
    <t>Microsoft Office User</t>
  </si>
  <si>
    <t>S01</t>
  </si>
  <si>
    <t>Start S01</t>
  </si>
  <si>
    <t>Total 3 year demand</t>
  </si>
  <si>
    <t>Total 3 year deseasonalized demand</t>
  </si>
  <si>
    <t>Average 3 year deseasonalized demand</t>
  </si>
  <si>
    <t>Highest Average SI</t>
  </si>
  <si>
    <t>Franchise  Operations</t>
  </si>
  <si>
    <t>Payoff</t>
  </si>
  <si>
    <t>Operations</t>
  </si>
  <si>
    <t>Reminder: Format Cells to show 2 decimal places</t>
  </si>
  <si>
    <t xml:space="preserve">probabilities </t>
  </si>
  <si>
    <t>Low</t>
  </si>
  <si>
    <t xml:space="preserve">High    </t>
  </si>
  <si>
    <t>Fill in the space below for each method solved under each Decision Alternative.  This is just a summary of the results on the left.</t>
  </si>
  <si>
    <t>Item</t>
  </si>
  <si>
    <t>Profit Model label</t>
  </si>
  <si>
    <t>Expense/revenue</t>
  </si>
  <si>
    <t>Rev: Coffee</t>
  </si>
  <si>
    <t>Rev: Donut</t>
  </si>
  <si>
    <t>Fixed Expense</t>
  </si>
  <si>
    <t>paper products: napkins, plates etc per Donut</t>
  </si>
  <si>
    <t>Average Monthly demand using the 3 year demand</t>
  </si>
  <si>
    <t xml:space="preserve">FOOD TRUCK </t>
  </si>
  <si>
    <t>Remember that we use profits to fill in payoff tables like the ones we forecasted in the previous sheets. It would help if you filled in the table in C5:E7 and referenced those values to the other tables below. Use the probabilities found in Financial Information B42:44 for the regret tables</t>
  </si>
  <si>
    <r>
      <t xml:space="preserve">2.  Create a pivot table selecting </t>
    </r>
    <r>
      <rPr>
        <b/>
        <sz val="11"/>
        <color theme="1"/>
        <rFont val="Calibri"/>
        <family val="2"/>
        <scheme val="minor"/>
      </rPr>
      <t>Existing Worksheet</t>
    </r>
    <r>
      <rPr>
        <sz val="11"/>
        <color theme="1"/>
        <rFont val="Calibri"/>
        <family val="2"/>
        <scheme val="minor"/>
      </rPr>
      <t xml:space="preserve"> at </t>
    </r>
    <r>
      <rPr>
        <b/>
        <sz val="11"/>
        <color theme="1"/>
        <rFont val="Calibri"/>
        <family val="2"/>
        <scheme val="minor"/>
      </rPr>
      <t xml:space="preserve">location </t>
    </r>
    <r>
      <rPr>
        <sz val="11"/>
        <color theme="1"/>
        <rFont val="Calibri"/>
        <family val="2"/>
        <scheme val="minor"/>
      </rPr>
      <t>D2</t>
    </r>
  </si>
  <si>
    <t>3. Confirm that there is no data from earlier than Jan 2019, and then remove that line</t>
  </si>
  <si>
    <t>5. Insert the trend line for 2022 and include the equation</t>
  </si>
  <si>
    <t>1. Copy your data set to columns A and B, leave the labels</t>
  </si>
  <si>
    <t>4. Create a Pivot Graph that looks like the one given in the Project instructions on Csepub</t>
  </si>
  <si>
    <t>Variable  Expense: Donut</t>
  </si>
  <si>
    <t>Variable  Expense: Coffee</t>
  </si>
  <si>
    <t xml:space="preserve">Monthly  average by Year (demand w/out Seasonality </t>
  </si>
  <si>
    <t>3 year Average SI</t>
  </si>
  <si>
    <t>Highest monthly average</t>
  </si>
  <si>
    <t>Put average of monthly seasonalized forcast in cell I50</t>
  </si>
  <si>
    <t xml:space="preserve">The below 2 columns are for the forecast for 2023 </t>
  </si>
  <si>
    <t>Seasonalized forecast, Use the average seasonal Index</t>
  </si>
  <si>
    <t xml:space="preserve">This space will be left blank. </t>
  </si>
  <si>
    <t xml:space="preserve">For the C and E columns above, only the blue boxes are needed </t>
  </si>
  <si>
    <t>Fall 25</t>
  </si>
  <si>
    <t>Row Labels</t>
  </si>
  <si>
    <t>Grand Total</t>
  </si>
  <si>
    <t>2020</t>
  </si>
  <si>
    <t>2021</t>
  </si>
  <si>
    <t>2022</t>
  </si>
  <si>
    <t>Column Labels</t>
  </si>
  <si>
    <t>Sum of Demand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</si>
  <si>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</si>
  <si>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</si>
  <si>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</si>
  <si>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</si>
  <si>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</si>
  <si>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</si>
  <si>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</si>
  <si>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</si>
  <si>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</si>
  <si>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</si>
  <si>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</si>
  <si>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</si>
  <si>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Expense/revenue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</si>
  <si>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</si>
  <si>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</si>
  <si>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</si>
  <si>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</si>
  <si>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</si>
  <si>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</si>
  <si>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</si>
  <si>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</si>
  <si>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</si>
  <si>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</si>
  <si>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</si>
  <si>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</si>
  <si>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</si>
  <si>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</si>
  <si>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</si>
  <si>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</si>
  <si>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</si>
  <si>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</si>
  <si>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</si>
  <si>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</si>
  <si>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</si>
  <si>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</si>
  <si>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</si>
  <si>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</si>
  <si>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</si>
  <si>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 xml:space="preserve">Donut Information for Food Truck </t>
  </si>
  <si>
    <t>new</t>
  </si>
  <si>
    <t xml:space="preserve">Drop Production since flexible hours and limited storage space </t>
  </si>
  <si>
    <t>Expense/revenue FT</t>
  </si>
  <si>
    <t>Variable  Expense donut</t>
  </si>
  <si>
    <t>No advertising, Friend doing locations on Insta and Facebook</t>
  </si>
  <si>
    <t>Variable  Expense coffee</t>
  </si>
  <si>
    <t>No other employees</t>
  </si>
  <si>
    <t>No rent instead payment for lease on Food Truck.</t>
  </si>
  <si>
    <t xml:space="preserve">Food Truck </t>
  </si>
  <si>
    <t>make to order</t>
  </si>
  <si>
    <t>Hours operating/week</t>
  </si>
  <si>
    <t>Event location</t>
  </si>
  <si>
    <t>office location</t>
  </si>
  <si>
    <t>Demand is based off multiple regression</t>
  </si>
  <si>
    <t xml:space="preserve">Use the data to the left from 10/2021 till 1/2023 to create a regression model </t>
  </si>
  <si>
    <t>Use the model and the data in the blue box to create the demand for 2023</t>
  </si>
  <si>
    <t>Event and office location are dummy variables.</t>
  </si>
  <si>
    <t xml:space="preserve">Since these are the only 2 possible locations.  This means that if they aren't at an Event location, they will be at an office location.  </t>
  </si>
  <si>
    <t xml:space="preserve">Therefore you only need to use 1 ( such as just the Event column) in the Regression, since by default a 0 in the event column means they are at an office location. </t>
  </si>
  <si>
    <t xml:space="preserve">This Blue box represent the variables to use in the regression equation  to predict the demand for 2023.  </t>
  </si>
  <si>
    <t>Part 4</t>
  </si>
  <si>
    <t>MAKE to Order</t>
  </si>
  <si>
    <t>Sum of Expense/revenue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</si>
</sst>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m/d/yy\ h:mm\ AM/PM;@"/>
    <numFmt numFmtId="165" formatCode="mmm\-dd\ hh:mm"/>
    <numFmt numFmtId="166" formatCode="&quot;$&quot;#,##0.00"/>
    <numFmt numFmtId="167" formatCode="dd\-mmm\-yyyy\ hh:mm"/>
    <numFmt numFmtId="168" formatCode="0.0000"/>
  </numFmts>
  <fonts count="30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Arial Unicode MS"/>
      <family val="2"/>
    </font>
    <font>
      <sz val="8"/>
      <name val="Arial Unicode MS"/>
      <family val="2"/>
    </font>
    <font>
      <b/>
      <i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 (Body)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double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theme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thin">
        <color indexed="64"/>
      </top>
      <bottom style="double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9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</cellStyleXfs>
  <cellXfs count="241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0" fontId="3" fillId="0" borderId="0" xfId="0" applyFont="1"/>
    <xf numFmtId="165" fontId="1" fillId="0" borderId="0" xfId="0" applyNumberFormat="1" applyFont="1"/>
    <xf numFmtId="164" fontId="1" fillId="0" borderId="0" xfId="0" applyNumberFormat="1" applyFont="1"/>
    <xf numFmtId="165" fontId="0" fillId="0" borderId="0" xfId="0" applyNumberFormat="1"/>
    <xf numFmtId="0" fontId="8" fillId="0" borderId="0" xfId="0" applyFont="1"/>
    <xf numFmtId="0" fontId="8" fillId="0" borderId="0" xfId="0" applyFont="1" applyAlignment="1">
      <alignment vertical="center"/>
    </xf>
    <xf numFmtId="0" fontId="6" fillId="0" borderId="0" xfId="0" applyFont="1"/>
    <xf numFmtId="0" fontId="11" fillId="0" borderId="0" xfId="0" applyFont="1"/>
    <xf numFmtId="166" fontId="0" fillId="0" borderId="0" xfId="0" applyNumberFormat="1"/>
    <xf numFmtId="166" fontId="12" fillId="0" borderId="6" xfId="94" applyNumberFormat="1" applyBorder="1"/>
    <xf numFmtId="166" fontId="12" fillId="0" borderId="10" xfId="94" applyNumberFormat="1" applyBorder="1"/>
    <xf numFmtId="0" fontId="14" fillId="0" borderId="11" xfId="94" applyFont="1" applyBorder="1" applyAlignment="1">
      <alignment horizontal="left" vertical="center" wrapText="1"/>
    </xf>
    <xf numFmtId="4" fontId="0" fillId="0" borderId="0" xfId="0" applyNumberFormat="1"/>
    <xf numFmtId="166" fontId="12" fillId="0" borderId="0" xfId="94" applyNumberFormat="1"/>
    <xf numFmtId="0" fontId="14" fillId="0" borderId="0" xfId="94" applyFont="1" applyAlignment="1">
      <alignment horizontal="left" vertical="center" wrapText="1"/>
    </xf>
    <xf numFmtId="0" fontId="16" fillId="4" borderId="16" xfId="0" applyFont="1" applyFill="1" applyBorder="1"/>
    <xf numFmtId="0" fontId="16" fillId="4" borderId="17" xfId="0" applyFont="1" applyFill="1" applyBorder="1"/>
    <xf numFmtId="0" fontId="16" fillId="4" borderId="18" xfId="0" applyFont="1" applyFill="1" applyBorder="1"/>
    <xf numFmtId="0" fontId="16" fillId="4" borderId="0" xfId="0" applyFont="1" applyFill="1"/>
    <xf numFmtId="0" fontId="0" fillId="4" borderId="0" xfId="0" applyFill="1"/>
    <xf numFmtId="14" fontId="0" fillId="5" borderId="15" xfId="0" applyNumberFormat="1" applyFill="1" applyBorder="1"/>
    <xf numFmtId="0" fontId="0" fillId="0" borderId="19" xfId="0" applyBorder="1"/>
    <xf numFmtId="0" fontId="0" fillId="0" borderId="20" xfId="0" applyBorder="1"/>
    <xf numFmtId="0" fontId="0" fillId="0" borderId="8" xfId="0" applyBorder="1"/>
    <xf numFmtId="0" fontId="0" fillId="6" borderId="8" xfId="0" applyFill="1" applyBorder="1"/>
    <xf numFmtId="0" fontId="8" fillId="0" borderId="0" xfId="0" applyFont="1" applyAlignment="1">
      <alignment horizontal="center"/>
    </xf>
    <xf numFmtId="0" fontId="0" fillId="2" borderId="6" xfId="0" applyFill="1" applyBorder="1"/>
    <xf numFmtId="0" fontId="0" fillId="5" borderId="15" xfId="0" applyFill="1" applyBorder="1"/>
    <xf numFmtId="0" fontId="0" fillId="5" borderId="5" xfId="0" applyFill="1" applyBorder="1"/>
    <xf numFmtId="0" fontId="0" fillId="2" borderId="33" xfId="0" applyFill="1" applyBorder="1"/>
    <xf numFmtId="0" fontId="0" fillId="2" borderId="8" xfId="0" applyFill="1" applyBorder="1"/>
    <xf numFmtId="0" fontId="0" fillId="2" borderId="25" xfId="0" applyFill="1" applyBorder="1"/>
    <xf numFmtId="0" fontId="8" fillId="0" borderId="0" xfId="0" applyFont="1" applyAlignment="1">
      <alignment wrapText="1"/>
    </xf>
    <xf numFmtId="0" fontId="21" fillId="0" borderId="0" xfId="0" applyFont="1"/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0" xfId="0" applyFont="1" applyAlignment="1">
      <alignment horizontal="right"/>
    </xf>
    <xf numFmtId="0" fontId="8" fillId="0" borderId="36" xfId="0" applyFont="1" applyBorder="1" applyAlignment="1">
      <alignment vertical="center"/>
    </xf>
    <xf numFmtId="0" fontId="8" fillId="0" borderId="37" xfId="0" applyFont="1" applyBorder="1" applyAlignment="1">
      <alignment vertical="center" wrapText="1"/>
    </xf>
    <xf numFmtId="0" fontId="8" fillId="5" borderId="0" xfId="0" applyFont="1" applyFill="1"/>
    <xf numFmtId="0" fontId="0" fillId="2" borderId="0" xfId="0" applyFill="1"/>
    <xf numFmtId="0" fontId="8" fillId="0" borderId="38" xfId="0" applyFont="1" applyBorder="1" applyAlignment="1">
      <alignment wrapText="1"/>
    </xf>
    <xf numFmtId="0" fontId="8" fillId="0" borderId="39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0" fillId="0" borderId="40" xfId="0" applyBorder="1" applyAlignment="1">
      <alignment wrapText="1"/>
    </xf>
    <xf numFmtId="0" fontId="8" fillId="0" borderId="41" xfId="0" applyFont="1" applyBorder="1" applyAlignment="1">
      <alignment vertical="center"/>
    </xf>
    <xf numFmtId="0" fontId="8" fillId="0" borderId="0" xfId="0" applyFont="1" applyAlignment="1">
      <alignment horizontal="center" wrapText="1"/>
    </xf>
    <xf numFmtId="9" fontId="0" fillId="0" borderId="0" xfId="0" applyNumberFormat="1"/>
    <xf numFmtId="0" fontId="9" fillId="3" borderId="38" xfId="0" applyFont="1" applyFill="1" applyBorder="1" applyAlignment="1">
      <alignment horizontal="center" wrapText="1"/>
    </xf>
    <xf numFmtId="0" fontId="0" fillId="3" borderId="42" xfId="0" applyFill="1" applyBorder="1"/>
    <xf numFmtId="0" fontId="12" fillId="3" borderId="42" xfId="94" applyFill="1" applyBorder="1"/>
    <xf numFmtId="0" fontId="12" fillId="3" borderId="37" xfId="94" applyFill="1" applyBorder="1"/>
    <xf numFmtId="0" fontId="8" fillId="0" borderId="0" xfId="0" applyFont="1" applyAlignment="1">
      <alignment horizontal="center" vertical="center"/>
    </xf>
    <xf numFmtId="167" fontId="2" fillId="0" borderId="0" xfId="0" applyNumberFormat="1" applyFont="1"/>
    <xf numFmtId="0" fontId="0" fillId="5" borderId="15" xfId="0" applyFill="1" applyBorder="1" applyAlignment="1">
      <alignment horizontal="right"/>
    </xf>
    <xf numFmtId="0" fontId="0" fillId="0" borderId="44" xfId="0" applyBorder="1"/>
    <xf numFmtId="17" fontId="0" fillId="4" borderId="46" xfId="0" applyNumberFormat="1" applyFill="1" applyBorder="1"/>
    <xf numFmtId="0" fontId="0" fillId="0" borderId="47" xfId="0" applyBorder="1"/>
    <xf numFmtId="0" fontId="8" fillId="4" borderId="26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/>
    </xf>
    <xf numFmtId="0" fontId="8" fillId="5" borderId="43" xfId="0" applyFont="1" applyFill="1" applyBorder="1" applyAlignment="1">
      <alignment horizontal="right"/>
    </xf>
    <xf numFmtId="0" fontId="8" fillId="5" borderId="15" xfId="0" applyFont="1" applyFill="1" applyBorder="1" applyAlignment="1">
      <alignment horizontal="center"/>
    </xf>
    <xf numFmtId="0" fontId="8" fillId="5" borderId="22" xfId="0" applyFont="1" applyFill="1" applyBorder="1" applyAlignment="1">
      <alignment horizontal="right"/>
    </xf>
    <xf numFmtId="0" fontId="0" fillId="0" borderId="6" xfId="0" applyBorder="1"/>
    <xf numFmtId="0" fontId="0" fillId="0" borderId="1" xfId="0" applyBorder="1"/>
    <xf numFmtId="17" fontId="0" fillId="4" borderId="50" xfId="0" applyNumberFormat="1" applyFill="1" applyBorder="1"/>
    <xf numFmtId="2" fontId="0" fillId="0" borderId="31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2" fontId="0" fillId="0" borderId="51" xfId="0" applyNumberFormat="1" applyBorder="1"/>
    <xf numFmtId="2" fontId="0" fillId="0" borderId="52" xfId="0" applyNumberFormat="1" applyBorder="1"/>
    <xf numFmtId="2" fontId="0" fillId="0" borderId="0" xfId="0" applyNumberFormat="1"/>
    <xf numFmtId="2" fontId="0" fillId="0" borderId="28" xfId="0" applyNumberFormat="1" applyBorder="1"/>
    <xf numFmtId="2" fontId="0" fillId="0" borderId="30" xfId="0" applyNumberFormat="1" applyBorder="1"/>
    <xf numFmtId="2" fontId="0" fillId="0" borderId="53" xfId="0" applyNumberFormat="1" applyBorder="1"/>
    <xf numFmtId="2" fontId="0" fillId="0" borderId="54" xfId="0" applyNumberFormat="1" applyBorder="1"/>
    <xf numFmtId="1" fontId="0" fillId="0" borderId="53" xfId="0" applyNumberFormat="1" applyBorder="1"/>
    <xf numFmtId="2" fontId="0" fillId="0" borderId="48" xfId="0" applyNumberFormat="1" applyBorder="1"/>
    <xf numFmtId="2" fontId="0" fillId="0" borderId="23" xfId="0" applyNumberFormat="1" applyBorder="1"/>
    <xf numFmtId="0" fontId="0" fillId="0" borderId="42" xfId="0" applyBorder="1"/>
    <xf numFmtId="0" fontId="24" fillId="2" borderId="20" xfId="0" applyFont="1" applyFill="1" applyBorder="1" applyAlignment="1">
      <alignment wrapText="1"/>
    </xf>
    <xf numFmtId="2" fontId="0" fillId="6" borderId="8" xfId="0" applyNumberFormat="1" applyFill="1" applyBorder="1"/>
    <xf numFmtId="168" fontId="0" fillId="0" borderId="19" xfId="0" applyNumberFormat="1" applyBorder="1"/>
    <xf numFmtId="168" fontId="0" fillId="0" borderId="8" xfId="0" applyNumberFormat="1" applyBorder="1"/>
    <xf numFmtId="2" fontId="0" fillId="0" borderId="8" xfId="0" applyNumberFormat="1" applyBorder="1"/>
    <xf numFmtId="2" fontId="0" fillId="5" borderId="0" xfId="0" applyNumberFormat="1" applyFill="1"/>
    <xf numFmtId="0" fontId="8" fillId="4" borderId="1" xfId="0" applyFont="1" applyFill="1" applyBorder="1"/>
    <xf numFmtId="2" fontId="0" fillId="0" borderId="44" xfId="0" applyNumberFormat="1" applyBorder="1"/>
    <xf numFmtId="2" fontId="0" fillId="5" borderId="55" xfId="0" applyNumberFormat="1" applyFill="1" applyBorder="1"/>
    <xf numFmtId="2" fontId="6" fillId="0" borderId="49" xfId="91" applyNumberFormat="1" applyBorder="1" applyAlignment="1">
      <alignment wrapText="1"/>
    </xf>
    <xf numFmtId="2" fontId="0" fillId="5" borderId="45" xfId="0" applyNumberFormat="1" applyFill="1" applyBorder="1"/>
    <xf numFmtId="168" fontId="0" fillId="5" borderId="1" xfId="0" applyNumberFormat="1" applyFill="1" applyBorder="1"/>
    <xf numFmtId="2" fontId="0" fillId="5" borderId="49" xfId="0" applyNumberFormat="1" applyFill="1" applyBorder="1"/>
    <xf numFmtId="2" fontId="0" fillId="5" borderId="1" xfId="0" applyNumberFormat="1" applyFill="1" applyBorder="1"/>
    <xf numFmtId="2" fontId="0" fillId="0" borderId="5" xfId="0" applyNumberFormat="1" applyBorder="1"/>
    <xf numFmtId="0" fontId="26" fillId="0" borderId="36" xfId="0" applyFont="1" applyBorder="1" applyAlignment="1">
      <alignment vertical="center"/>
    </xf>
    <xf numFmtId="0" fontId="26" fillId="0" borderId="37" xfId="0" applyFont="1" applyBorder="1" applyAlignment="1">
      <alignment vertical="center" wrapText="1"/>
    </xf>
    <xf numFmtId="2" fontId="0" fillId="0" borderId="13" xfId="0" applyNumberFormat="1" applyBorder="1"/>
    <xf numFmtId="2" fontId="0" fillId="0" borderId="12" xfId="0" applyNumberFormat="1" applyBorder="1"/>
    <xf numFmtId="2" fontId="0" fillId="0" borderId="7" xfId="0" applyNumberFormat="1" applyBorder="1"/>
    <xf numFmtId="2" fontId="0" fillId="0" borderId="14" xfId="0" applyNumberFormat="1" applyBorder="1"/>
    <xf numFmtId="9" fontId="8" fillId="0" borderId="6" xfId="0" applyNumberFormat="1" applyFont="1" applyBorder="1" applyAlignment="1">
      <alignment vertical="center" wrapText="1"/>
    </xf>
    <xf numFmtId="9" fontId="8" fillId="0" borderId="9" xfId="0" applyNumberFormat="1" applyFont="1" applyBorder="1" applyAlignment="1">
      <alignment vertical="center" wrapText="1"/>
    </xf>
    <xf numFmtId="9" fontId="8" fillId="0" borderId="10" xfId="95" applyFont="1" applyBorder="1" applyAlignment="1">
      <alignment vertical="center" wrapText="1"/>
    </xf>
    <xf numFmtId="17" fontId="0" fillId="0" borderId="56" xfId="0" applyNumberFormat="1" applyBorder="1"/>
    <xf numFmtId="0" fontId="6" fillId="0" borderId="19" xfId="91" applyBorder="1"/>
    <xf numFmtId="0" fontId="6" fillId="0" borderId="8" xfId="91" applyBorder="1"/>
    <xf numFmtId="0" fontId="16" fillId="3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wrapText="1"/>
    </xf>
    <xf numFmtId="0" fontId="8" fillId="0" borderId="34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166" fontId="28" fillId="0" borderId="0" xfId="0" applyNumberFormat="1" applyFont="1"/>
    <xf numFmtId="0" fontId="13" fillId="0" borderId="2" xfId="94" applyFont="1" applyBorder="1" applyAlignment="1">
      <alignment wrapText="1"/>
    </xf>
    <xf numFmtId="0" fontId="8" fillId="0" borderId="3" xfId="0" applyFont="1" applyBorder="1" applyAlignment="1">
      <alignment wrapText="1"/>
    </xf>
    <xf numFmtId="166" fontId="13" fillId="0" borderId="4" xfId="94" applyNumberFormat="1" applyFont="1" applyBorder="1" applyAlignment="1">
      <alignment wrapText="1"/>
    </xf>
    <xf numFmtId="0" fontId="12" fillId="0" borderId="41" xfId="94" applyBorder="1" applyAlignment="1">
      <alignment wrapText="1"/>
    </xf>
    <xf numFmtId="166" fontId="12" fillId="0" borderId="7" xfId="94" applyNumberFormat="1" applyBorder="1"/>
    <xf numFmtId="0" fontId="12" fillId="0" borderId="57" xfId="94" applyBorder="1" applyAlignment="1">
      <alignment wrapText="1"/>
    </xf>
    <xf numFmtId="0" fontId="12" fillId="0" borderId="6" xfId="94" applyBorder="1" applyAlignment="1">
      <alignment wrapText="1"/>
    </xf>
    <xf numFmtId="0" fontId="12" fillId="0" borderId="0" xfId="94" applyAlignment="1">
      <alignment wrapText="1"/>
    </xf>
    <xf numFmtId="0" fontId="12" fillId="0" borderId="42" xfId="94" applyBorder="1" applyAlignment="1">
      <alignment wrapText="1"/>
    </xf>
    <xf numFmtId="0" fontId="15" fillId="0" borderId="0" xfId="94" applyFont="1" applyAlignment="1">
      <alignment wrapText="1"/>
    </xf>
    <xf numFmtId="0" fontId="17" fillId="3" borderId="3" xfId="9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wrapText="1"/>
    </xf>
    <xf numFmtId="0" fontId="17" fillId="3" borderId="38" xfId="94" applyFont="1" applyFill="1" applyBorder="1" applyAlignment="1">
      <alignment horizontal="center" vertical="center" wrapText="1"/>
    </xf>
    <xf numFmtId="0" fontId="18" fillId="3" borderId="42" xfId="0" applyFont="1" applyFill="1" applyBorder="1" applyAlignment="1">
      <alignment wrapText="1"/>
    </xf>
    <xf numFmtId="0" fontId="8" fillId="3" borderId="42" xfId="0" applyFont="1" applyFill="1" applyBorder="1" applyAlignment="1">
      <alignment wrapText="1"/>
    </xf>
    <xf numFmtId="0" fontId="19" fillId="0" borderId="0" xfId="94" applyFont="1" applyAlignment="1">
      <alignment horizontal="left" vertical="center" wrapText="1"/>
    </xf>
    <xf numFmtId="0" fontId="20" fillId="0" borderId="0" xfId="94" applyFont="1" applyAlignment="1">
      <alignment horizontal="left" vertical="center" wrapText="1"/>
    </xf>
    <xf numFmtId="0" fontId="9" fillId="0" borderId="0" xfId="0" applyFont="1" applyAlignment="1">
      <alignment horizontal="left"/>
    </xf>
    <xf numFmtId="0" fontId="0" fillId="7" borderId="0" xfId="0" applyFill="1"/>
    <xf numFmtId="14" fontId="0" fillId="5" borderId="42" xfId="0" applyNumberFormat="1" applyFill="1" applyBorder="1"/>
    <xf numFmtId="2" fontId="0" fillId="6" borderId="19" xfId="0" applyNumberFormat="1" applyFill="1" applyBorder="1"/>
    <xf numFmtId="0" fontId="0" fillId="0" borderId="45" xfId="0" applyBorder="1"/>
    <xf numFmtId="0" fontId="0" fillId="0" borderId="49" xfId="0" applyBorder="1"/>
    <xf numFmtId="2" fontId="6" fillId="0" borderId="58" xfId="91" applyNumberFormat="1" applyBorder="1" applyAlignment="1">
      <alignment wrapText="1"/>
    </xf>
    <xf numFmtId="14" fontId="0" fillId="5" borderId="0" xfId="0" applyNumberFormat="1" applyFill="1"/>
    <xf numFmtId="0" fontId="0" fillId="2" borderId="0" xfId="0" applyFill="1" applyAlignment="1">
      <alignment horizontal="left"/>
    </xf>
    <xf numFmtId="0" fontId="22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6" fillId="0" borderId="0" xfId="0" applyFont="1" applyAlignment="1">
      <alignment wrapText="1"/>
    </xf>
    <xf numFmtId="0" fontId="0" fillId="0" borderId="6" xfId="0" applyBorder="1" applyAlignment="1">
      <alignment wrapText="1"/>
    </xf>
    <xf numFmtId="166" fontId="12" fillId="0" borderId="0" xfId="94" applyNumberFormat="1" applyAlignment="1">
      <alignment wrapText="1"/>
    </xf>
    <xf numFmtId="0" fontId="0" fillId="3" borderId="27" xfId="0" applyFill="1" applyBorder="1" applyAlignment="1">
      <alignment horizontal="center" wrapText="1"/>
    </xf>
    <xf numFmtId="9" fontId="0" fillId="2" borderId="0" xfId="0" applyNumberFormat="1" applyFill="1" applyAlignment="1">
      <alignment wrapText="1"/>
    </xf>
    <xf numFmtId="9" fontId="0" fillId="2" borderId="32" xfId="0" applyNumberFormat="1" applyFill="1" applyBorder="1" applyAlignment="1">
      <alignment wrapText="1"/>
    </xf>
    <xf numFmtId="0" fontId="0" fillId="3" borderId="20" xfId="0" applyFill="1" applyBorder="1" applyAlignment="1">
      <alignment horizontal="center" wrapText="1"/>
    </xf>
    <xf numFmtId="4" fontId="0" fillId="2" borderId="20" xfId="0" applyNumberFormat="1" applyFill="1" applyBorder="1" applyAlignment="1">
      <alignment wrapText="1"/>
    </xf>
    <xf numFmtId="9" fontId="0" fillId="2" borderId="20" xfId="0" applyNumberFormat="1" applyFill="1" applyBorder="1" applyAlignment="1">
      <alignment wrapText="1"/>
    </xf>
    <xf numFmtId="0" fontId="9" fillId="3" borderId="3" xfId="0" applyFont="1" applyFill="1" applyBorder="1" applyAlignment="1">
      <alignment horizontal="left" wrapText="1"/>
    </xf>
    <xf numFmtId="10" fontId="12" fillId="2" borderId="0" xfId="94" applyNumberFormat="1" applyFill="1" applyAlignment="1">
      <alignment wrapText="1"/>
    </xf>
    <xf numFmtId="10" fontId="12" fillId="2" borderId="23" xfId="94" applyNumberFormat="1" applyFill="1" applyBorder="1" applyAlignment="1">
      <alignment wrapText="1"/>
    </xf>
    <xf numFmtId="0" fontId="16" fillId="4" borderId="17" xfId="0" applyFont="1" applyFill="1" applyBorder="1" applyAlignment="1">
      <alignment wrapText="1"/>
    </xf>
    <xf numFmtId="168" fontId="2" fillId="8" borderId="19" xfId="0" applyNumberFormat="1" applyFont="1" applyFill="1" applyBorder="1"/>
    <xf numFmtId="0" fontId="23" fillId="9" borderId="0" xfId="0" applyFont="1" applyFill="1"/>
    <xf numFmtId="0" fontId="0" fillId="6" borderId="42" xfId="0" applyFill="1" applyBorder="1"/>
    <xf numFmtId="0" fontId="0" fillId="6" borderId="0" xfId="0" applyFill="1"/>
    <xf numFmtId="0" fontId="0" fillId="5" borderId="38" xfId="0" applyFill="1" applyBorder="1"/>
    <xf numFmtId="0" fontId="0" fillId="5" borderId="3" xfId="0" applyFill="1" applyBorder="1"/>
    <xf numFmtId="168" fontId="25" fillId="5" borderId="3" xfId="0" applyNumberFormat="1" applyFont="1" applyFill="1" applyBorder="1"/>
    <xf numFmtId="0" fontId="0" fillId="5" borderId="27" xfId="0" applyFill="1" applyBorder="1"/>
    <xf numFmtId="0" fontId="0" fillId="5" borderId="42" xfId="0" applyFill="1" applyBorder="1"/>
    <xf numFmtId="0" fontId="0" fillId="5" borderId="0" xfId="0" applyFill="1"/>
    <xf numFmtId="168" fontId="25" fillId="5" borderId="0" xfId="0" applyNumberFormat="1" applyFont="1" applyFill="1"/>
    <xf numFmtId="0" fontId="0" fillId="5" borderId="20" xfId="0" applyFill="1" applyBorder="1"/>
    <xf numFmtId="0" fontId="0" fillId="5" borderId="37" xfId="0" applyFill="1" applyBorder="1"/>
    <xf numFmtId="0" fontId="0" fillId="5" borderId="23" xfId="0" applyFill="1" applyBorder="1"/>
    <xf numFmtId="168" fontId="25" fillId="5" borderId="23" xfId="0" applyNumberFormat="1" applyFont="1" applyFill="1" applyBorder="1"/>
    <xf numFmtId="0" fontId="0" fillId="5" borderId="32" xfId="0" applyFill="1" applyBorder="1"/>
    <xf numFmtId="14" fontId="25" fillId="10" borderId="15" xfId="0" applyNumberFormat="1" applyFont="1" applyFill="1" applyBorder="1"/>
    <xf numFmtId="0" fontId="25" fillId="0" borderId="19" xfId="0" applyFont="1" applyBorder="1"/>
    <xf numFmtId="0" fontId="25" fillId="0" borderId="8" xfId="0" applyFont="1" applyBorder="1"/>
    <xf numFmtId="0" fontId="25" fillId="0" borderId="59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23" xfId="0" applyBorder="1"/>
    <xf numFmtId="0" fontId="7" fillId="0" borderId="60" xfId="0" applyFont="1" applyBorder="1" applyAlignment="1">
      <alignment horizontal="center"/>
    </xf>
    <xf numFmtId="0" fontId="7" fillId="0" borderId="60" xfId="0" applyFont="1" applyBorder="1" applyAlignment="1">
      <alignment horizontal="centerContinuous"/>
    </xf>
    <xf numFmtId="0" fontId="9" fillId="0" borderId="0" xfId="0" applyFont="1"/>
    <xf numFmtId="166" fontId="8" fillId="0" borderId="0" xfId="0" applyNumberFormat="1" applyFont="1"/>
    <xf numFmtId="166" fontId="13" fillId="0" borderId="61" xfId="94" applyNumberFormat="1" applyFont="1" applyBorder="1" applyAlignment="1">
      <alignment wrapText="1"/>
    </xf>
    <xf numFmtId="166" fontId="12" fillId="0" borderId="62" xfId="94" applyNumberFormat="1" applyBorder="1"/>
    <xf numFmtId="166" fontId="12" fillId="0" borderId="40" xfId="94" applyNumberFormat="1" applyBorder="1"/>
    <xf numFmtId="0" fontId="12" fillId="0" borderId="9" xfId="94" applyBorder="1"/>
    <xf numFmtId="0" fontId="12" fillId="0" borderId="42" xfId="94" applyBorder="1"/>
    <xf numFmtId="0" fontId="0" fillId="0" borderId="30" xfId="0" applyBorder="1"/>
    <xf numFmtId="0" fontId="15" fillId="0" borderId="0" xfId="94" applyFont="1"/>
    <xf numFmtId="0" fontId="17" fillId="3" borderId="38" xfId="94" applyFont="1" applyFill="1" applyBorder="1" applyAlignment="1">
      <alignment horizontal="center" vertical="center"/>
    </xf>
    <xf numFmtId="0" fontId="0" fillId="3" borderId="27" xfId="0" applyFill="1" applyBorder="1" applyAlignment="1">
      <alignment horizontal="center"/>
    </xf>
    <xf numFmtId="0" fontId="29" fillId="0" borderId="0" xfId="0" applyFont="1"/>
    <xf numFmtId="9" fontId="0" fillId="2" borderId="0" xfId="0" applyNumberFormat="1" applyFill="1"/>
    <xf numFmtId="9" fontId="0" fillId="2" borderId="32" xfId="0" applyNumberFormat="1" applyFill="1" applyBorder="1"/>
    <xf numFmtId="0" fontId="0" fillId="0" borderId="20" xfId="0" applyBorder="1" applyAlignment="1">
      <alignment horizontal="center"/>
    </xf>
    <xf numFmtId="0" fontId="18" fillId="0" borderId="42" xfId="0" applyFont="1" applyBorder="1"/>
    <xf numFmtId="4" fontId="0" fillId="0" borderId="20" xfId="0" applyNumberFormat="1" applyBorder="1"/>
    <xf numFmtId="0" fontId="18" fillId="0" borderId="0" xfId="0" applyFont="1"/>
    <xf numFmtId="0" fontId="8" fillId="9" borderId="0" xfId="0" applyFont="1" applyFill="1"/>
    <xf numFmtId="9" fontId="0" fillId="9" borderId="0" xfId="0" applyNumberFormat="1" applyFill="1"/>
    <xf numFmtId="0" fontId="0" fillId="9" borderId="0" xfId="0" applyFill="1"/>
    <xf numFmtId="0" fontId="9" fillId="9" borderId="0" xfId="0" applyFont="1" applyFill="1" applyAlignment="1">
      <alignment horizontal="center" wrapText="1"/>
    </xf>
    <xf numFmtId="10" fontId="12" fillId="9" borderId="0" xfId="94" applyNumberFormat="1" applyFill="1"/>
    <xf numFmtId="166" fontId="12" fillId="9" borderId="0" xfId="94" applyNumberFormat="1" applyFill="1"/>
    <xf numFmtId="0" fontId="12" fillId="9" borderId="0" xfId="94" applyFill="1"/>
    <xf numFmtId="0" fontId="14" fillId="0" borderId="0" xfId="94" applyFont="1" applyAlignment="1">
      <alignment horizontal="left" vertical="center"/>
    </xf>
    <xf numFmtId="0" fontId="12" fillId="0" borderId="0" xfId="94"/>
    <xf numFmtId="0" fontId="19" fillId="0" borderId="0" xfId="94" applyFont="1" applyAlignment="1">
      <alignment horizontal="left" vertical="center"/>
    </xf>
    <xf numFmtId="0" fontId="20" fillId="0" borderId="0" xfId="94" applyFont="1" applyAlignment="1">
      <alignment horizontal="left" vertical="center"/>
    </xf>
    <xf numFmtId="0" fontId="16" fillId="4" borderId="16" xfId="0" applyFont="1" applyFill="1" applyBorder="1" applyAlignment="1">
      <alignment wrapText="1"/>
    </xf>
    <xf numFmtId="0" fontId="16" fillId="4" borderId="63" xfId="0" applyFont="1" applyFill="1" applyBorder="1" applyAlignment="1">
      <alignment wrapText="1"/>
    </xf>
    <xf numFmtId="0" fontId="8" fillId="11" borderId="0" xfId="0" applyFont="1" applyFill="1" applyAlignment="1">
      <alignment wrapText="1"/>
    </xf>
    <xf numFmtId="0" fontId="6" fillId="12" borderId="54" xfId="91" applyFill="1" applyBorder="1"/>
    <xf numFmtId="0" fontId="0" fillId="12" borderId="0" xfId="0" applyFill="1"/>
    <xf numFmtId="0" fontId="6" fillId="12" borderId="62" xfId="91" applyFill="1" applyBorder="1"/>
    <xf numFmtId="0" fontId="7" fillId="0" borderId="0" xfId="0" applyFont="1" applyAlignment="1">
      <alignment horizontal="centerContinuous"/>
    </xf>
    <xf numFmtId="0" fontId="7" fillId="0" borderId="0" xfId="0" applyFont="1" applyAlignment="1">
      <alignment horizontal="center"/>
    </xf>
    <xf numFmtId="0" fontId="0" fillId="13" borderId="0" xfId="0" applyFill="1"/>
    <xf numFmtId="0" fontId="6" fillId="0" borderId="59" xfId="91" applyBorder="1"/>
    <xf numFmtId="0" fontId="0" fillId="0" borderId="25" xfId="0" applyBorder="1"/>
    <xf numFmtId="0" fontId="0" fillId="0" borderId="33" xfId="0" applyBorder="1"/>
    <xf numFmtId="2" fontId="0" fillId="2" borderId="6" xfId="0" applyNumberFormat="1" applyFill="1" applyBorder="1"/>
    <xf numFmtId="2" fontId="0" fillId="0" borderId="6" xfId="0" applyNumberFormat="1" applyBorder="1"/>
    <xf numFmtId="0" fontId="8" fillId="0" borderId="34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vertical="top" wrapText="1"/>
    </xf>
    <xf numFmtId="0" fontId="9" fillId="9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</cellXfs>
  <cellStyles count="96">
    <cellStyle name="Comma 2" xfId="92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Normal" xfId="0" builtinId="0"/>
    <cellStyle name="Normal 2" xfId="91" xr:uid="{00000000-0005-0000-0000-00005C000000}"/>
    <cellStyle name="Normal 2 2" xfId="94" xr:uid="{3360A7AF-A590-45B8-B575-FE3ED16F2727}"/>
    <cellStyle name="Percent" xfId="95" builtinId="5"/>
    <cellStyle name="Percent 2" xfId="93" xr:uid="{00000000-0005-0000-0000-00005D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[TemplateVF25 (3).xlsx]Pivot Table and Chart Pt1!PivotTable2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and Chart Pt1'!$E$2:$E$3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and Chart Pt1'!$D$4:$D$16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and Chart Pt1'!$E$4:$E$16</c:f>
              <c:numCache>
                <c:formatCode>General</c:formatCode>
                <c:ptCount val="12"/>
                <c:pt idx="0">
                  <c:v>2323</c:v>
                </c:pt>
                <c:pt idx="1">
                  <c:v>2804</c:v>
                </c:pt>
                <c:pt idx="2">
                  <c:v>2469</c:v>
                </c:pt>
                <c:pt idx="3">
                  <c:v>3278</c:v>
                </c:pt>
                <c:pt idx="4">
                  <c:v>3617</c:v>
                </c:pt>
                <c:pt idx="5">
                  <c:v>2669</c:v>
                </c:pt>
                <c:pt idx="6">
                  <c:v>2010</c:v>
                </c:pt>
                <c:pt idx="7">
                  <c:v>2715</c:v>
                </c:pt>
                <c:pt idx="8">
                  <c:v>2890</c:v>
                </c:pt>
                <c:pt idx="9">
                  <c:v>2973</c:v>
                </c:pt>
                <c:pt idx="10">
                  <c:v>3485</c:v>
                </c:pt>
                <c:pt idx="11">
                  <c:v>4548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92-40FD-843B-2F37103C17C0}"/>
            </c:ext>
          </c:extLst>
        </c:ser>
        <c:ser>
          <c:idx val="1"/>
          <c:order val="1"/>
          <c:tx>
            <c:strRef>
              <c:f>'Pivot Table and Chart Pt1'!$F$2:$F$3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 and Chart Pt1'!$D$4:$D$16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and Chart Pt1'!$F$4:$F$16</c:f>
              <c:numCache>
                <c:formatCode>General</c:formatCode>
                <c:ptCount val="12"/>
                <c:pt idx="0">
                  <c:v>2429</c:v>
                </c:pt>
                <c:pt idx="1">
                  <c:v>2495</c:v>
                </c:pt>
                <c:pt idx="2">
                  <c:v>2595</c:v>
                </c:pt>
                <c:pt idx="3">
                  <c:v>3383</c:v>
                </c:pt>
                <c:pt idx="4">
                  <c:v>3426</c:v>
                </c:pt>
                <c:pt idx="5">
                  <c:v>3654</c:v>
                </c:pt>
                <c:pt idx="6">
                  <c:v>2629</c:v>
                </c:pt>
                <c:pt idx="7">
                  <c:v>2996</c:v>
                </c:pt>
                <c:pt idx="8">
                  <c:v>3150</c:v>
                </c:pt>
                <c:pt idx="9">
                  <c:v>3924</c:v>
                </c:pt>
                <c:pt idx="10">
                  <c:v>4185</c:v>
                </c:pt>
                <c:pt idx="11">
                  <c:v>4982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92-40FD-843B-2F37103C17C0}"/>
            </c:ext>
          </c:extLst>
        </c:ser>
        <c:ser>
          <c:idx val="2"/>
          <c:order val="2"/>
          <c:tx>
            <c:strRef>
              <c:f>'Pivot Table and Chart Pt1'!$G$2:$G$3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'Pivot Table and Chart Pt1'!$D$4:$D$16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and Chart Pt1'!$G$4:$G$16</c:f>
              <c:numCache>
                <c:formatCode>General</c:formatCode>
                <c:ptCount val="12"/>
                <c:pt idx="0">
                  <c:v>2712</c:v>
                </c:pt>
                <c:pt idx="1">
                  <c:v>3229</c:v>
                </c:pt>
                <c:pt idx="2">
                  <c:v>3077</c:v>
                </c:pt>
                <c:pt idx="3">
                  <c:v>3646</c:v>
                </c:pt>
                <c:pt idx="4">
                  <c:v>3998</c:v>
                </c:pt>
                <c:pt idx="5">
                  <c:v>4062</c:v>
                </c:pt>
                <c:pt idx="6">
                  <c:v>3171</c:v>
                </c:pt>
                <c:pt idx="7">
                  <c:v>3638</c:v>
                </c:pt>
                <c:pt idx="8">
                  <c:v>3623</c:v>
                </c:pt>
                <c:pt idx="9">
                  <c:v>4050</c:v>
                </c:pt>
                <c:pt idx="10">
                  <c:v>4528</c:v>
                </c:pt>
                <c:pt idx="11">
                  <c:v>5702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92-40FD-843B-2F37103C1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7803087"/>
        <c:axId val="1217802607"/>
      </c:lineChart>
      <c:catAx>
        <c:axId val="121780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802607"/>
        <c:crosses val="autoZero"/>
        <c:auto val="1"/>
        <c:lblAlgn val="ctr"/>
        <c:lblOffset val="100"/>
        <c:noMultiLvlLbl val="0"/>
      </c:catAx>
      <c:valAx>
        <c:axId val="121780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80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[TemplateVF25 (3).xlsx]Financial information  FT!PivotTable4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information  FT'!$J$4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'Financial information  FT'!$I$5:$I$10</c:f>
              <c:strCache>
                <c:ptCount val="5"/>
                <c:pt idx="0">
                  <c:v>Fixed Expense</c:v>
                </c:pt>
                <c:pt idx="1">
                  <c:v>Rev: Coffee</c:v>
                </c:pt>
                <c:pt idx="2">
                  <c:v>Rev: Donut</c:v>
                </c:pt>
                <c:pt idx="3">
                  <c:v>Variable  Expense coffee</c:v>
                </c:pt>
                <c:pt idx="4">
                  <c:v>Variable  Expense donut</c:v>
                </c:pt>
              </c:strCache>
            </c:strRef>
          </c:cat>
          <c:val>
            <c:numRef>
              <c:f>'Financial information  FT'!$J$5:$J$10</c:f>
              <c:numCache>
                <c:formatCode>"$"#,##0.00</c:formatCode>
                <c:ptCount val="5"/>
                <c:pt idx="0">
                  <c:v>5045</c:v>
                </c:pt>
                <c:pt idx="1">
                  <c:v>2.99</c:v>
                </c:pt>
                <c:pt idx="2">
                  <c:v>2.5</c:v>
                </c:pt>
                <c:pt idx="3">
                  <c:v>0.5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0-4035-B1FA-F0416E549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6168928"/>
        <c:axId val="1356162208"/>
      </c:barChart>
      <c:catAx>
        <c:axId val="135616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162208"/>
        <c:crosses val="autoZero"/>
        <c:auto val="1"/>
        <c:lblAlgn val="ctr"/>
        <c:lblOffset val="100"/>
        <c:noMultiLvlLbl val="0"/>
      </c:catAx>
      <c:valAx>
        <c:axId val="135616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16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[TemplateVF25 (3).xlsx]Financial information 1 Pt1!PivotTable2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information 1 Pt1'!$F$17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'Financial information 1 Pt1'!$E$18:$E$23</c:f>
              <c:strCache>
                <c:ptCount val="5"/>
                <c:pt idx="0">
                  <c:v>Fixed Expense</c:v>
                </c:pt>
                <c:pt idx="1">
                  <c:v>Rev: Coffee</c:v>
                </c:pt>
                <c:pt idx="2">
                  <c:v>Rev: Donut</c:v>
                </c:pt>
                <c:pt idx="3">
                  <c:v>Variable  Expense: Coffee</c:v>
                </c:pt>
                <c:pt idx="4">
                  <c:v>Variable  Expense: Donut</c:v>
                </c:pt>
              </c:strCache>
            </c:strRef>
          </c:cat>
          <c:val>
            <c:numRef>
              <c:f>'Financial information 1 Pt1'!$F$18:$F$23</c:f>
              <c:numCache>
                <c:formatCode>"$"#,##0.00</c:formatCode>
                <c:ptCount val="5"/>
                <c:pt idx="0">
                  <c:v>5800</c:v>
                </c:pt>
                <c:pt idx="1">
                  <c:v>2.99</c:v>
                </c:pt>
                <c:pt idx="2">
                  <c:v>2.5</c:v>
                </c:pt>
                <c:pt idx="3">
                  <c:v>0.5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A-44C6-9743-FF6ECC0B6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6216928"/>
        <c:axId val="1356217408"/>
      </c:barChart>
      <c:catAx>
        <c:axId val="135621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17408"/>
        <c:crosses val="autoZero"/>
        <c:auto val="1"/>
        <c:lblAlgn val="ctr"/>
        <c:lblOffset val="100"/>
        <c:noMultiLvlLbl val="0"/>
      </c:catAx>
      <c:valAx>
        <c:axId val="135621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1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495300</xdr:colOff>
      <xdr:row>11</xdr:row>
      <xdr:rowOff>33337</xdr:rowOff>
    </xdr:from>
    <xdr:to>
      <xdr:col>18</xdr:col>
      <xdr:colOff>190500</xdr:colOff>
      <xdr:row>25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818400-CB97-6862-A439-21C0D7EC0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192741</xdr:colOff>
      <xdr:row>15</xdr:row>
      <xdr:rowOff>8965</xdr:rowOff>
    </xdr:from>
    <xdr:to>
      <xdr:col>10</xdr:col>
      <xdr:colOff>838200</xdr:colOff>
      <xdr:row>30</xdr:row>
      <xdr:rowOff>35859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5161B-EEDC-7F0A-2CDD-C7C686E4E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1035423</xdr:colOff>
      <xdr:row>4</xdr:row>
      <xdr:rowOff>143435</xdr:rowOff>
    </xdr:from>
    <xdr:to>
      <xdr:col>14</xdr:col>
      <xdr:colOff>533400</xdr:colOff>
      <xdr:row>15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526E74-3AAB-BA5C-8896-31DB60959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celi Andrade Gutierrez" refreshedDate="46058.780687962964" createdVersion="8" refreshedVersion="8" minRefreshableVersion="3" recordCount="36" xr:uid="{16CD8A8E-2F72-4A2B-8B3E-290EC949A4CE}">
  <cacheSource type="worksheet">
    <worksheetSource ref="A1:B37" sheet="Pivot Table and Chart Pt1"/>
  </cacheSource>
  <cacheFields count="5">
    <cacheField name="Month" numFmtId="14">
      <sharedItems containsSemiMixedTypes="0" containsNonDate="0" containsDate="1" containsString="0" minDate="2020-01-01T00:00:00" maxDate="2022-12-02T00:00:00" count="36"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</sharedItems>
      <fieldGroup par="4"/>
    </cacheField>
    <cacheField name="Demand" numFmtId="0">
      <sharedItems containsSemiMixedTypes="0" containsString="0" containsNumber="1" containsInteger="1" minValue="2010" maxValue="5702"/>
    </cacheField>
    <cacheField name="Months (Month)" numFmtId="0" databaseField="0">
      <fieldGroup base="0">
        <rangePr groupBy="months" startDate="2020-01-01T00:00:00" endDate="2022-12-02T00:00:00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2"/>
        </groupItems>
      </fieldGroup>
    </cacheField>
    <cacheField name="Quarters (Month)" numFmtId="0" databaseField="0">
      <fieldGroup base="0">
        <rangePr groupBy="quarters" startDate="2020-01-01T00:00:00" endDate="2022-12-02T00:00:00"/>
        <groupItems count="6">
          <s v="&lt;1/1/2020"/>
          <s v="Qtr1"/>
          <s v="Qtr2"/>
          <s v="Qtr3"/>
          <s v="Qtr4"/>
          <s v="&gt;12/2/2022"/>
        </groupItems>
      </fieldGroup>
    </cacheField>
    <cacheField name="Years (Month)" numFmtId="0" databaseField="0">
      <fieldGroup base="0">
        <rangePr groupBy="years" startDate="2020-01-01T00:00:00" endDate="2022-12-02T00:00:00"/>
        <groupItems count="5">
          <s v="&lt;1/1/2020"/>
          <s v="2020"/>
          <s v="2021"/>
          <s v="2022"/>
          <s v="&gt;12/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celi Andrade Gutierrez" refreshedDate="46058.795943750003" createdVersion="8" refreshedVersion="8" minRefreshableVersion="3" recordCount="18" xr:uid="{2D192CEC-687E-431E-A9BD-98ADD6895DEB}">
  <cacheSource type="worksheet">
    <worksheetSource ref="B6:C24" sheet="Financial information 1 Pt1"/>
  </cacheSource>
  <cacheFields count="2">
    <cacheField name="Profit Model label" numFmtId="0">
      <sharedItems count="5">
        <s v="Rev: Coffee"/>
        <s v="Rev: Donut"/>
        <s v="Variable  Expense: Donut"/>
        <s v="Fixed Expense"/>
        <s v="Variable  Expense: Coffee"/>
      </sharedItems>
    </cacheField>
    <cacheField name="Expense/revenue" numFmtId="166">
      <sharedItems containsSemiMixedTypes="0" containsString="0" containsNumber="1" minValue="0" maxValue="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celi Andrade Gutierrez" refreshedDate="46128.471707291668" createdVersion="8" refreshedVersion="8" minRefreshableVersion="3" recordCount="18" xr:uid="{966AB125-0FE7-4601-9437-CBFF9FEE6507}">
  <cacheSource type="worksheet">
    <worksheetSource ref="B6:C24" sheet="Financial information  FT"/>
  </cacheSource>
  <cacheFields count="2">
    <cacheField name="Profit Model label" numFmtId="0">
      <sharedItems count="5">
        <s v="Rev: Coffee"/>
        <s v="Rev: Donut"/>
        <s v="Variable  Expense donut"/>
        <s v="Fixed Expense"/>
        <s v="Variable  Expense coffee"/>
      </sharedItems>
    </cacheField>
    <cacheField name="Expense/revenue FT" numFmtId="166">
      <sharedItems containsSemiMixedTypes="0" containsString="0" containsNumber="1" minValue="0" maxValue="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2323"/>
  </r>
  <r>
    <x v="1"/>
    <n v="2804"/>
  </r>
  <r>
    <x v="2"/>
    <n v="2469"/>
  </r>
  <r>
    <x v="3"/>
    <n v="3278"/>
  </r>
  <r>
    <x v="4"/>
    <n v="3617"/>
  </r>
  <r>
    <x v="5"/>
    <n v="2669"/>
  </r>
  <r>
    <x v="6"/>
    <n v="2010"/>
  </r>
  <r>
    <x v="7"/>
    <n v="2715"/>
  </r>
  <r>
    <x v="8"/>
    <n v="2890"/>
  </r>
  <r>
    <x v="9"/>
    <n v="2973"/>
  </r>
  <r>
    <x v="10"/>
    <n v="3485"/>
  </r>
  <r>
    <x v="11"/>
    <n v="4548"/>
  </r>
  <r>
    <x v="12"/>
    <n v="2429"/>
  </r>
  <r>
    <x v="13"/>
    <n v="2495"/>
  </r>
  <r>
    <x v="14"/>
    <n v="2595"/>
  </r>
  <r>
    <x v="15"/>
    <n v="3383"/>
  </r>
  <r>
    <x v="16"/>
    <n v="3426"/>
  </r>
  <r>
    <x v="17"/>
    <n v="3654"/>
  </r>
  <r>
    <x v="18"/>
    <n v="2629"/>
  </r>
  <r>
    <x v="19"/>
    <n v="2996"/>
  </r>
  <r>
    <x v="20"/>
    <n v="3150"/>
  </r>
  <r>
    <x v="21"/>
    <n v="3924"/>
  </r>
  <r>
    <x v="22"/>
    <n v="4185"/>
  </r>
  <r>
    <x v="23"/>
    <n v="4982"/>
  </r>
  <r>
    <x v="24"/>
    <n v="2712"/>
  </r>
  <r>
    <x v="25"/>
    <n v="3229"/>
  </r>
  <r>
    <x v="26"/>
    <n v="3077"/>
  </r>
  <r>
    <x v="27"/>
    <n v="3646"/>
  </r>
  <r>
    <x v="28"/>
    <n v="3998"/>
  </r>
  <r>
    <x v="29"/>
    <n v="4062"/>
  </r>
  <r>
    <x v="30"/>
    <n v="3171"/>
  </r>
  <r>
    <x v="31"/>
    <n v="3638"/>
  </r>
  <r>
    <x v="32"/>
    <n v="3623"/>
  </r>
  <r>
    <x v="33"/>
    <n v="4050"/>
  </r>
  <r>
    <x v="34"/>
    <n v="4528"/>
  </r>
  <r>
    <x v="35"/>
    <n v="57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n v="2.99"/>
  </r>
  <r>
    <x v="1"/>
    <n v="2.5"/>
  </r>
  <r>
    <x v="2"/>
    <n v="0.5"/>
  </r>
  <r>
    <x v="2"/>
    <n v="0.1"/>
  </r>
  <r>
    <x v="3"/>
    <n v="300"/>
  </r>
  <r>
    <x v="3"/>
    <n v="0"/>
  </r>
  <r>
    <x v="3"/>
    <n v="100"/>
  </r>
  <r>
    <x v="4"/>
    <n v="0.35"/>
  </r>
  <r>
    <x v="4"/>
    <n v="0.15"/>
  </r>
  <r>
    <x v="3"/>
    <n v="2400"/>
  </r>
  <r>
    <x v="3"/>
    <n v="1200"/>
  </r>
  <r>
    <x v="3"/>
    <n v="500"/>
  </r>
  <r>
    <x v="3"/>
    <n v="50"/>
  </r>
  <r>
    <x v="3"/>
    <n v="25"/>
  </r>
  <r>
    <x v="3"/>
    <n v="0"/>
  </r>
  <r>
    <x v="3"/>
    <n v="1000"/>
  </r>
  <r>
    <x v="3"/>
    <n v="25"/>
  </r>
  <r>
    <x v="3"/>
    <n v="2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n v="2.99"/>
  </r>
  <r>
    <x v="1"/>
    <n v="2.5"/>
  </r>
  <r>
    <x v="2"/>
    <n v="0.5"/>
  </r>
  <r>
    <x v="2"/>
    <n v="0.1"/>
  </r>
  <r>
    <x v="3"/>
    <n v="150"/>
  </r>
  <r>
    <x v="3"/>
    <n v="300"/>
  </r>
  <r>
    <x v="3"/>
    <n v="0"/>
  </r>
  <r>
    <x v="4"/>
    <n v="0.35"/>
  </r>
  <r>
    <x v="4"/>
    <n v="0.15"/>
  </r>
  <r>
    <x v="3"/>
    <n v="2400"/>
  </r>
  <r>
    <x v="3"/>
    <n v="0"/>
  </r>
  <r>
    <x v="3"/>
    <n v="0"/>
  </r>
  <r>
    <x v="3"/>
    <n v="50"/>
  </r>
  <r>
    <x v="3"/>
    <n v="25"/>
  </r>
  <r>
    <x v="3"/>
    <n v="0"/>
  </r>
  <r>
    <x v="3"/>
    <n v="2120"/>
  </r>
  <r>
    <x v="3"/>
    <n v="0"/>
  </r>
  <r>
    <x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08E44-5C77-49E6-B88B-71F835582F0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2:H16" firstHeaderRow="1" firstDataRow="2" firstDataCol="1"/>
  <pivotFields count="5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4">
    <i>
      <x v="1"/>
    </i>
    <i>
      <x v="2"/>
    </i>
    <i>
      <x v="3"/>
    </i>
    <i t="grand">
      <x/>
    </i>
  </colItems>
  <dataFields count="1">
    <dataField name="Sum of Demand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63BFB-7465-45C2-9335-9B53B5CE1324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4:J10" firstHeaderRow="1" firstDataRow="1" firstDataCol="1"/>
  <pivotFields count="2">
    <pivotField axis="axisRow" showAll="0">
      <items count="6">
        <item x="3"/>
        <item x="0"/>
        <item x="1"/>
        <item x="4"/>
        <item x="2"/>
        <item t="default"/>
      </items>
    </pivotField>
    <pivotField dataField="1" numFmtId="166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pense/revenue FT" fld="1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6AA39-5C53-4646-A0AE-25A203D9C61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17:F23" firstHeaderRow="1" firstDataRow="1" firstDataCol="1"/>
  <pivotFields count="2">
    <pivotField axis="axisRow" showAll="0">
      <items count="6">
        <item x="3"/>
        <item x="0"/>
        <item x="1"/>
        <item x="4"/>
        <item x="2"/>
        <item t="default"/>
      </items>
    </pivotField>
    <pivotField dataField="1" numFmtId="166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pense/revenue" fld="1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DD6C6-53FC-4DD6-86D2-B6055B48B7D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5:F11" firstHeaderRow="1" firstDataRow="1" firstDataCol="1"/>
  <pivotFields count="2">
    <pivotField axis="axisRow" showAll="0">
      <items count="6">
        <item x="3"/>
        <item x="0"/>
        <item x="1"/>
        <item x="4"/>
        <item x="2"/>
        <item t="default"/>
      </items>
    </pivotField>
    <pivotField dataField="1" numFmtId="166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pense/revenue" fld="1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33"/>
  <sheetViews>
    <sheetView workbookViewId="0">
      <selection activeCell="C7" sqref="C7"/>
    </sheetView>
  </sheetViews>
  <sheetFormatPr defaultColWidth="8.88671875" defaultRowHeight="14.4"/>
  <cols>
    <col min="1" max="3" width="14.44140625" style="1" customWidth="1"/>
    <col min="4" max="4" width="32.109375" style="1" customWidth="1"/>
  </cols>
  <sheetData>
    <row r="1" spans="1:5">
      <c r="A1" s="4" t="s">
        <v>2</v>
      </c>
      <c r="E1" t="s">
        <v>101</v>
      </c>
    </row>
    <row r="2" spans="1:5">
      <c r="A2" s="2" t="s">
        <v>3</v>
      </c>
      <c r="B2" s="2" t="s">
        <v>0</v>
      </c>
      <c r="C2" s="2" t="s">
        <v>1</v>
      </c>
      <c r="D2" s="2" t="s">
        <v>4</v>
      </c>
      <c r="E2" t="s">
        <v>104</v>
      </c>
    </row>
    <row r="3" spans="1:5">
      <c r="A3" s="2" t="s">
        <v>105</v>
      </c>
      <c r="B3" s="2" t="s">
        <v>100</v>
      </c>
      <c r="C3" s="2">
        <v>202020202</v>
      </c>
      <c r="D3" s="58">
        <v>44459.23012847222</v>
      </c>
      <c r="E3" t="s">
        <v>103</v>
      </c>
    </row>
    <row r="4" spans="1:5">
      <c r="A4" t="s">
        <v>5</v>
      </c>
      <c r="B4" t="s">
        <v>6</v>
      </c>
      <c r="C4">
        <v>0</v>
      </c>
      <c r="D4" s="7">
        <v>43831</v>
      </c>
    </row>
    <row r="5" spans="1:5">
      <c r="A5"/>
      <c r="B5"/>
      <c r="C5"/>
      <c r="D5" s="7"/>
      <c r="E5" t="s">
        <v>102</v>
      </c>
    </row>
    <row r="6" spans="1:5">
      <c r="A6"/>
      <c r="B6"/>
      <c r="C6"/>
      <c r="D6" s="7"/>
    </row>
    <row r="7" spans="1:5">
      <c r="A7"/>
      <c r="B7"/>
      <c r="C7"/>
      <c r="D7" s="7"/>
    </row>
    <row r="8" spans="1:5">
      <c r="A8"/>
      <c r="B8"/>
      <c r="C8"/>
      <c r="D8" s="7"/>
    </row>
    <row r="9" spans="1:5">
      <c r="A9"/>
      <c r="B9"/>
      <c r="C9" s="7"/>
      <c r="D9"/>
    </row>
    <row r="10" spans="1:5">
      <c r="A10"/>
      <c r="B10"/>
      <c r="C10" s="7"/>
      <c r="D10"/>
    </row>
    <row r="11" spans="1:5">
      <c r="A11"/>
      <c r="B11"/>
      <c r="C11" s="7"/>
      <c r="D11"/>
    </row>
    <row r="12" spans="1:5">
      <c r="A12"/>
      <c r="B12"/>
      <c r="C12" s="7"/>
      <c r="D12"/>
    </row>
    <row r="13" spans="1:5">
      <c r="A13"/>
      <c r="B13"/>
      <c r="C13" s="7"/>
      <c r="D13"/>
    </row>
    <row r="14" spans="1:5">
      <c r="A14"/>
      <c r="B14"/>
      <c r="C14" s="7"/>
      <c r="D14"/>
    </row>
    <row r="15" spans="1:5">
      <c r="A15"/>
      <c r="B15"/>
      <c r="C15" s="7"/>
      <c r="D15"/>
    </row>
    <row r="16" spans="1:5">
      <c r="A16"/>
      <c r="B16"/>
      <c r="C16" s="7"/>
      <c r="D16"/>
    </row>
    <row r="17" spans="1:4">
      <c r="A17"/>
      <c r="B17"/>
      <c r="C17" s="7"/>
      <c r="D17"/>
    </row>
    <row r="18" spans="1:4">
      <c r="A18"/>
      <c r="B18"/>
      <c r="C18" s="7"/>
      <c r="D18"/>
    </row>
    <row r="19" spans="1:4">
      <c r="A19"/>
      <c r="B19"/>
      <c r="C19" s="7"/>
      <c r="D19"/>
    </row>
    <row r="20" spans="1:4">
      <c r="C20" s="5"/>
    </row>
    <row r="21" spans="1:4">
      <c r="C21" s="5"/>
    </row>
    <row r="22" spans="1:4">
      <c r="A22" s="2"/>
      <c r="B22" s="2"/>
      <c r="C22" s="3"/>
      <c r="D22" s="2"/>
    </row>
    <row r="23" spans="1:4">
      <c r="A23" s="2"/>
      <c r="B23" s="2"/>
      <c r="C23" s="3"/>
      <c r="D23" s="2"/>
    </row>
    <row r="24" spans="1:4">
      <c r="A24" s="2"/>
      <c r="B24" s="2"/>
      <c r="C24" s="3"/>
      <c r="D24" s="2"/>
    </row>
    <row r="25" spans="1:4">
      <c r="C25" s="5"/>
    </row>
    <row r="26" spans="1:4">
      <c r="A26" s="2"/>
      <c r="B26" s="2"/>
      <c r="C26" s="3"/>
      <c r="D26" s="2"/>
    </row>
    <row r="27" spans="1:4">
      <c r="A27" s="2"/>
      <c r="B27" s="2"/>
      <c r="C27" s="3"/>
      <c r="D27" s="2"/>
    </row>
    <row r="28" spans="1:4">
      <c r="A28" s="2"/>
      <c r="B28" s="2"/>
      <c r="C28" s="3"/>
      <c r="D28" s="2"/>
    </row>
    <row r="29" spans="1:4">
      <c r="A29" s="2"/>
      <c r="B29" s="2"/>
      <c r="C29" s="3"/>
      <c r="D29" s="2"/>
    </row>
    <row r="30" spans="1:4">
      <c r="A30" s="2"/>
      <c r="B30" s="2"/>
      <c r="C30" s="3"/>
      <c r="D30" s="2"/>
    </row>
    <row r="31" spans="1:4">
      <c r="A31" s="2"/>
      <c r="B31" s="2"/>
      <c r="C31" s="3"/>
      <c r="D31" s="2"/>
    </row>
    <row r="32" spans="1:4">
      <c r="A32" s="2"/>
      <c r="B32" s="2"/>
      <c r="C32" s="3"/>
      <c r="D32" s="2"/>
    </row>
    <row r="33" spans="1:4">
      <c r="A33" s="2"/>
      <c r="B33" s="2"/>
      <c r="C33" s="3"/>
      <c r="D33" s="2"/>
    </row>
    <row r="34" spans="1:4">
      <c r="A34" s="2"/>
      <c r="B34" s="2"/>
      <c r="C34" s="3"/>
      <c r="D34" s="2"/>
    </row>
    <row r="35" spans="1:4">
      <c r="A35" s="2"/>
      <c r="B35" s="2"/>
      <c r="C35" s="3"/>
      <c r="D35" s="2"/>
    </row>
    <row r="36" spans="1:4">
      <c r="A36" s="2"/>
      <c r="B36" s="2"/>
      <c r="C36" s="3"/>
      <c r="D36" s="2"/>
    </row>
    <row r="37" spans="1:4">
      <c r="A37" s="2"/>
      <c r="B37" s="2"/>
      <c r="C37" s="3"/>
      <c r="D37" s="2"/>
    </row>
    <row r="38" spans="1:4">
      <c r="A38" s="2"/>
      <c r="B38" s="2"/>
      <c r="C38" s="3"/>
      <c r="D38" s="2"/>
    </row>
    <row r="39" spans="1:4">
      <c r="A39" s="2"/>
      <c r="B39" s="2"/>
      <c r="C39" s="3"/>
      <c r="D39" s="2"/>
    </row>
    <row r="40" spans="1:4">
      <c r="A40" s="2"/>
      <c r="B40" s="2"/>
      <c r="C40" s="3"/>
      <c r="D40" s="2"/>
    </row>
    <row r="41" spans="1:4">
      <c r="A41" s="2"/>
      <c r="B41" s="2"/>
      <c r="C41" s="3"/>
      <c r="D41" s="2"/>
    </row>
    <row r="42" spans="1:4">
      <c r="A42" s="2"/>
      <c r="B42" s="2"/>
      <c r="C42" s="3"/>
      <c r="D42" s="2"/>
    </row>
    <row r="43" spans="1:4">
      <c r="A43" s="2"/>
      <c r="B43" s="2"/>
      <c r="C43" s="3"/>
      <c r="D43" s="2"/>
    </row>
    <row r="44" spans="1:4">
      <c r="A44" s="2"/>
      <c r="B44" s="2"/>
      <c r="C44" s="3"/>
      <c r="D44" s="2"/>
    </row>
    <row r="45" spans="1:4">
      <c r="A45" s="2"/>
      <c r="B45" s="2"/>
      <c r="C45" s="3"/>
      <c r="D45" s="2"/>
    </row>
    <row r="46" spans="1:4">
      <c r="A46" s="2"/>
      <c r="B46" s="2"/>
      <c r="C46" s="3"/>
      <c r="D46" s="2"/>
    </row>
    <row r="47" spans="1:4">
      <c r="A47" s="2"/>
      <c r="B47" s="2"/>
      <c r="C47" s="3"/>
      <c r="D47" s="2"/>
    </row>
    <row r="48" spans="1:4">
      <c r="A48" s="2"/>
      <c r="B48" s="2"/>
      <c r="C48" s="3"/>
      <c r="D48" s="2"/>
    </row>
    <row r="49" spans="1:4">
      <c r="A49" s="2"/>
      <c r="B49" s="2"/>
      <c r="C49" s="3"/>
      <c r="D49" s="2"/>
    </row>
    <row r="50" spans="1:4">
      <c r="A50" s="2"/>
      <c r="B50" s="2"/>
      <c r="C50" s="3"/>
      <c r="D50" s="2"/>
    </row>
    <row r="51" spans="1:4">
      <c r="A51" s="2"/>
      <c r="B51" s="2"/>
      <c r="C51" s="3"/>
      <c r="D51" s="2"/>
    </row>
    <row r="52" spans="1:4">
      <c r="A52" s="2"/>
      <c r="B52" s="2"/>
      <c r="C52" s="3"/>
      <c r="D52" s="2"/>
    </row>
    <row r="53" spans="1:4">
      <c r="A53" s="2"/>
      <c r="B53" s="2"/>
      <c r="C53" s="3"/>
      <c r="D53" s="2"/>
    </row>
    <row r="54" spans="1:4">
      <c r="A54" s="2"/>
      <c r="B54" s="2"/>
      <c r="C54" s="3"/>
      <c r="D54" s="2"/>
    </row>
    <row r="55" spans="1:4">
      <c r="A55" s="2"/>
      <c r="B55" s="2"/>
      <c r="C55" s="3"/>
      <c r="D55" s="2"/>
    </row>
    <row r="56" spans="1:4">
      <c r="A56" s="2"/>
      <c r="B56" s="2"/>
      <c r="C56" s="3"/>
      <c r="D56" s="2"/>
    </row>
    <row r="57" spans="1:4">
      <c r="A57" s="2"/>
      <c r="B57" s="2"/>
      <c r="C57" s="3"/>
      <c r="D57" s="2"/>
    </row>
    <row r="58" spans="1:4">
      <c r="A58" s="2"/>
      <c r="B58" s="2"/>
      <c r="C58" s="3"/>
      <c r="D58" s="2"/>
    </row>
    <row r="59" spans="1:4">
      <c r="A59" s="2"/>
      <c r="B59" s="2"/>
      <c r="C59" s="3"/>
      <c r="D59" s="2"/>
    </row>
    <row r="60" spans="1:4">
      <c r="A60" s="2"/>
      <c r="B60" s="2"/>
      <c r="C60" s="3"/>
      <c r="D60" s="2"/>
    </row>
    <row r="61" spans="1:4">
      <c r="A61" s="2"/>
      <c r="B61" s="2"/>
      <c r="C61" s="3"/>
      <c r="D61" s="2"/>
    </row>
    <row r="62" spans="1:4">
      <c r="A62" s="2"/>
      <c r="B62" s="2"/>
      <c r="C62" s="3"/>
      <c r="D62" s="2"/>
    </row>
    <row r="63" spans="1:4">
      <c r="A63" s="2"/>
      <c r="B63" s="2"/>
      <c r="C63" s="3"/>
      <c r="D63" s="2"/>
    </row>
    <row r="64" spans="1:4">
      <c r="A64" s="2"/>
      <c r="B64" s="2"/>
      <c r="C64" s="3"/>
      <c r="D64" s="2"/>
    </row>
    <row r="65" spans="1:4">
      <c r="A65" s="2"/>
      <c r="B65" s="2"/>
      <c r="C65" s="3"/>
      <c r="D65" s="2"/>
    </row>
    <row r="66" spans="1:4">
      <c r="A66" s="2"/>
      <c r="B66" s="2"/>
      <c r="C66" s="3"/>
      <c r="D66" s="2"/>
    </row>
    <row r="67" spans="1:4">
      <c r="A67" s="2"/>
      <c r="B67" s="2"/>
      <c r="C67" s="3"/>
      <c r="D67" s="2"/>
    </row>
    <row r="68" spans="1:4">
      <c r="A68" s="2"/>
      <c r="B68" s="2"/>
      <c r="C68" s="3"/>
      <c r="D68" s="2"/>
    </row>
    <row r="69" spans="1:4">
      <c r="A69" s="2"/>
      <c r="B69" s="2"/>
      <c r="C69" s="3"/>
      <c r="D69" s="2"/>
    </row>
    <row r="70" spans="1:4">
      <c r="A70" s="2"/>
      <c r="B70" s="3"/>
      <c r="C70" s="2"/>
      <c r="D70" s="2"/>
    </row>
    <row r="71" spans="1:4">
      <c r="A71" s="2"/>
      <c r="B71" s="3"/>
      <c r="C71" s="2"/>
      <c r="D71" s="2"/>
    </row>
    <row r="72" spans="1:4">
      <c r="A72" s="2"/>
      <c r="B72" s="3"/>
      <c r="C72" s="2"/>
      <c r="D72" s="2"/>
    </row>
    <row r="73" spans="1:4">
      <c r="A73" s="2"/>
      <c r="B73" s="3"/>
      <c r="C73" s="2"/>
      <c r="D73" s="2"/>
    </row>
    <row r="74" spans="1:4">
      <c r="A74" s="2"/>
      <c r="B74" s="3"/>
      <c r="C74" s="2"/>
      <c r="D74" s="2"/>
    </row>
    <row r="75" spans="1:4">
      <c r="A75" s="2"/>
      <c r="B75" s="3"/>
      <c r="C75" s="2"/>
      <c r="D75" s="2"/>
    </row>
    <row r="76" spans="1:4">
      <c r="A76" s="2"/>
      <c r="B76" s="3"/>
      <c r="C76" s="2"/>
      <c r="D76" s="2"/>
    </row>
    <row r="77" spans="1:4">
      <c r="A77" s="2"/>
      <c r="B77" s="3"/>
      <c r="C77" s="2"/>
      <c r="D77" s="2"/>
    </row>
    <row r="78" spans="1:4">
      <c r="A78" s="2"/>
      <c r="B78" s="3"/>
      <c r="C78" s="2"/>
      <c r="D78" s="2"/>
    </row>
    <row r="79" spans="1:4">
      <c r="A79" s="2"/>
      <c r="B79" s="3"/>
      <c r="C79" s="2"/>
      <c r="D79" s="2"/>
    </row>
    <row r="80" spans="1:4">
      <c r="A80" s="2"/>
      <c r="B80" s="3"/>
      <c r="C80" s="2"/>
      <c r="D80" s="2"/>
    </row>
    <row r="81" spans="1:4">
      <c r="A81" s="2"/>
      <c r="B81" s="3"/>
      <c r="C81" s="2"/>
      <c r="D81" s="2"/>
    </row>
    <row r="82" spans="1:4">
      <c r="A82" s="2"/>
      <c r="B82" s="3"/>
      <c r="C82" s="2"/>
      <c r="D82" s="2"/>
    </row>
    <row r="83" spans="1:4">
      <c r="A83" s="2"/>
      <c r="B83" s="3"/>
      <c r="C83" s="2"/>
      <c r="D83" s="2"/>
    </row>
    <row r="84" spans="1:4">
      <c r="A84" s="2"/>
      <c r="B84" s="3"/>
      <c r="C84" s="2"/>
      <c r="D84" s="2"/>
    </row>
    <row r="85" spans="1:4">
      <c r="A85" s="2"/>
      <c r="B85" s="3"/>
      <c r="C85" s="2"/>
      <c r="D85" s="2"/>
    </row>
    <row r="86" spans="1:4">
      <c r="A86" s="2"/>
      <c r="B86" s="3"/>
      <c r="C86" s="2"/>
      <c r="D86" s="2"/>
    </row>
    <row r="87" spans="1:4">
      <c r="A87" s="2"/>
      <c r="B87" s="3"/>
      <c r="C87" s="2"/>
      <c r="D87" s="2"/>
    </row>
    <row r="88" spans="1:4">
      <c r="A88" s="2"/>
      <c r="B88" s="3"/>
      <c r="C88" s="2"/>
      <c r="D88" s="2"/>
    </row>
    <row r="89" spans="1:4">
      <c r="A89" s="2"/>
      <c r="B89" s="3"/>
      <c r="C89" s="2"/>
      <c r="D89" s="2"/>
    </row>
    <row r="90" spans="1:4">
      <c r="A90" s="2"/>
      <c r="B90" s="3"/>
      <c r="C90" s="2"/>
      <c r="D90" s="2"/>
    </row>
    <row r="91" spans="1:4">
      <c r="A91" s="2"/>
      <c r="B91" s="3"/>
      <c r="C91" s="2"/>
      <c r="D91" s="2"/>
    </row>
    <row r="92" spans="1:4">
      <c r="B92" s="5"/>
    </row>
    <row r="93" spans="1:4">
      <c r="B93" s="5"/>
    </row>
    <row r="94" spans="1:4">
      <c r="B94" s="5"/>
    </row>
    <row r="95" spans="1:4">
      <c r="B95" s="5"/>
    </row>
    <row r="96" spans="1:4">
      <c r="B96" s="5"/>
    </row>
    <row r="97" spans="2:2">
      <c r="B97" s="5"/>
    </row>
    <row r="98" spans="2:2">
      <c r="B98" s="5"/>
    </row>
    <row r="99" spans="2:2">
      <c r="B99" s="5"/>
    </row>
    <row r="100" spans="2:2">
      <c r="B100" s="5"/>
    </row>
    <row r="102" spans="2:2">
      <c r="B102" s="5"/>
    </row>
    <row r="103" spans="2:2">
      <c r="B103" s="5"/>
    </row>
    <row r="104" spans="2:2">
      <c r="B104" s="5"/>
    </row>
    <row r="106" spans="2:2">
      <c r="B106" s="5"/>
    </row>
    <row r="107" spans="2:2">
      <c r="B107" s="5"/>
    </row>
    <row r="108" spans="2:2">
      <c r="B108" s="5"/>
    </row>
    <row r="109" spans="2:2">
      <c r="B109" s="5"/>
    </row>
    <row r="110" spans="2:2">
      <c r="B110" s="5"/>
    </row>
    <row r="111" spans="2:2">
      <c r="B111" s="5"/>
    </row>
    <row r="112" spans="2:2">
      <c r="B112" s="5"/>
    </row>
    <row r="113" spans="2:2">
      <c r="B113" s="5"/>
    </row>
    <row r="114" spans="2:2">
      <c r="B114" s="5"/>
    </row>
    <row r="115" spans="2:2">
      <c r="B115" s="5"/>
    </row>
    <row r="116" spans="2:2">
      <c r="B116" s="5"/>
    </row>
    <row r="119" spans="2:2">
      <c r="B119" s="5"/>
    </row>
    <row r="120" spans="2:2">
      <c r="B120" s="5"/>
    </row>
    <row r="121" spans="2:2">
      <c r="B121" s="5"/>
    </row>
    <row r="122" spans="2:2">
      <c r="B122" s="5"/>
    </row>
    <row r="123" spans="2:2">
      <c r="B123" s="5"/>
    </row>
    <row r="124" spans="2:2">
      <c r="B124" s="5"/>
    </row>
    <row r="125" spans="2:2">
      <c r="B125" s="5"/>
    </row>
    <row r="126" spans="2:2">
      <c r="B126" s="5"/>
    </row>
    <row r="127" spans="2:2">
      <c r="B127" s="5"/>
    </row>
    <row r="128" spans="2:2">
      <c r="B128" s="5"/>
    </row>
    <row r="129" spans="2:2">
      <c r="B129" s="5"/>
    </row>
    <row r="130" spans="2:2">
      <c r="B130" s="5"/>
    </row>
    <row r="131" spans="2:2">
      <c r="B131" s="5"/>
    </row>
    <row r="133" spans="2:2">
      <c r="B133" s="6"/>
    </row>
  </sheetData>
  <sheetProtection formatCells="0" formatColumns="0" formatRows="0" insertColumns="0" insertRows="0" selectLockedCells="1"/>
  <protectedRanges>
    <protectedRange sqref="D81:D96 A81:B96 A97:D1048576 A2:D80" name="Range1"/>
  </protectedRange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AEDA-F2D7-49C4-96A6-D7924DCB044B}">
  <dimension ref="A1:P37"/>
  <sheetViews>
    <sheetView workbookViewId="0">
      <selection activeCell="G12" sqref="G12"/>
    </sheetView>
  </sheetViews>
  <sheetFormatPr defaultRowHeight="14.4"/>
  <cols>
    <col min="1" max="1" width="9.6640625" bestFit="1" customWidth="1"/>
    <col min="4" max="4" width="15.109375" bestFit="1" customWidth="1"/>
    <col min="5" max="5" width="16.33203125" bestFit="1" customWidth="1"/>
    <col min="6" max="7" width="6" bestFit="1" customWidth="1"/>
    <col min="8" max="8" width="11.33203125" bestFit="1" customWidth="1"/>
  </cols>
  <sheetData>
    <row r="1" spans="1:16" ht="16.2" thickBot="1">
      <c r="A1" s="19" t="s">
        <v>37</v>
      </c>
      <c r="B1" s="20" t="s">
        <v>38</v>
      </c>
    </row>
    <row r="2" spans="1:16">
      <c r="A2" s="178">
        <v>43831</v>
      </c>
      <c r="B2" s="179">
        <v>2323</v>
      </c>
      <c r="D2" s="182" t="s">
        <v>150</v>
      </c>
      <c r="E2" s="182" t="s">
        <v>149</v>
      </c>
      <c r="P2" s="148" t="s">
        <v>131</v>
      </c>
    </row>
    <row r="3" spans="1:16">
      <c r="A3" s="178">
        <v>43862</v>
      </c>
      <c r="B3" s="179">
        <v>2804</v>
      </c>
      <c r="D3" s="182" t="s">
        <v>144</v>
      </c>
      <c r="E3" t="s">
        <v>146</v>
      </c>
      <c r="F3" t="s">
        <v>147</v>
      </c>
      <c r="G3" t="s">
        <v>148</v>
      </c>
      <c r="H3" t="s">
        <v>145</v>
      </c>
      <c r="P3" s="148" t="s">
        <v>128</v>
      </c>
    </row>
    <row r="4" spans="1:16">
      <c r="A4" s="178">
        <v>43891</v>
      </c>
      <c r="B4" s="179">
        <v>2469</v>
      </c>
      <c r="D4" s="183" t="s">
        <v>151</v>
      </c>
      <c r="E4">
        <v>2323</v>
      </c>
      <c r="F4">
        <v>2429</v>
      </c>
      <c r="G4">
        <v>2712</v>
      </c>
      <c r="H4">
        <v>7464</v>
      </c>
      <c r="P4" s="148" t="s">
        <v>129</v>
      </c>
    </row>
    <row r="5" spans="1:16">
      <c r="A5" s="178">
        <v>43922</v>
      </c>
      <c r="B5" s="179">
        <v>3278</v>
      </c>
      <c r="D5" s="183" t="s">
        <v>152</v>
      </c>
      <c r="E5">
        <v>2804</v>
      </c>
      <c r="F5">
        <v>2495</v>
      </c>
      <c r="G5">
        <v>3229</v>
      </c>
      <c r="H5">
        <v>8528</v>
      </c>
      <c r="P5" s="148" t="s">
        <v>132</v>
      </c>
    </row>
    <row r="6" spans="1:16">
      <c r="A6" s="178">
        <v>43952</v>
      </c>
      <c r="B6" s="179">
        <v>3617</v>
      </c>
      <c r="D6" s="183" t="s">
        <v>153</v>
      </c>
      <c r="E6">
        <v>2469</v>
      </c>
      <c r="F6">
        <v>2595</v>
      </c>
      <c r="G6">
        <v>3077</v>
      </c>
      <c r="H6">
        <v>8141</v>
      </c>
      <c r="P6" s="148" t="s">
        <v>130</v>
      </c>
    </row>
    <row r="7" spans="1:16">
      <c r="A7" s="178">
        <v>43983</v>
      </c>
      <c r="B7" s="179">
        <v>2669</v>
      </c>
      <c r="D7" s="183" t="s">
        <v>154</v>
      </c>
      <c r="E7">
        <v>3278</v>
      </c>
      <c r="F7">
        <v>3383</v>
      </c>
      <c r="G7">
        <v>3646</v>
      </c>
      <c r="H7">
        <v>10307</v>
      </c>
    </row>
    <row r="8" spans="1:16">
      <c r="A8" s="178">
        <v>44013</v>
      </c>
      <c r="B8" s="179">
        <v>2010</v>
      </c>
      <c r="D8" s="183" t="s">
        <v>155</v>
      </c>
      <c r="E8">
        <v>3617</v>
      </c>
      <c r="F8">
        <v>3426</v>
      </c>
      <c r="G8">
        <v>3998</v>
      </c>
      <c r="H8">
        <v>11041</v>
      </c>
    </row>
    <row r="9" spans="1:16">
      <c r="A9" s="178">
        <v>44044</v>
      </c>
      <c r="B9" s="179">
        <v>2715</v>
      </c>
      <c r="D9" s="183" t="s">
        <v>156</v>
      </c>
      <c r="E9">
        <v>2669</v>
      </c>
      <c r="F9">
        <v>3654</v>
      </c>
      <c r="G9">
        <v>4062</v>
      </c>
      <c r="H9">
        <v>10385</v>
      </c>
    </row>
    <row r="10" spans="1:16">
      <c r="A10" s="178">
        <v>44075</v>
      </c>
      <c r="B10" s="179">
        <v>2890</v>
      </c>
      <c r="D10" s="183" t="s">
        <v>157</v>
      </c>
      <c r="E10">
        <v>2010</v>
      </c>
      <c r="F10">
        <v>2629</v>
      </c>
      <c r="G10">
        <v>3171</v>
      </c>
      <c r="H10">
        <v>7810</v>
      </c>
    </row>
    <row r="11" spans="1:16">
      <c r="A11" s="178">
        <v>44105</v>
      </c>
      <c r="B11" s="179">
        <v>2973</v>
      </c>
      <c r="D11" s="183" t="s">
        <v>158</v>
      </c>
      <c r="E11">
        <v>2715</v>
      </c>
      <c r="F11">
        <v>2996</v>
      </c>
      <c r="G11">
        <v>3638</v>
      </c>
      <c r="H11">
        <v>9349</v>
      </c>
    </row>
    <row r="12" spans="1:16">
      <c r="A12" s="178">
        <v>44136</v>
      </c>
      <c r="B12" s="179">
        <v>3485</v>
      </c>
      <c r="D12" s="183" t="s">
        <v>159</v>
      </c>
      <c r="E12">
        <v>2890</v>
      </c>
      <c r="F12">
        <v>3150</v>
      </c>
      <c r="G12">
        <v>3623</v>
      </c>
      <c r="H12">
        <v>9663</v>
      </c>
    </row>
    <row r="13" spans="1:16">
      <c r="A13" s="178">
        <v>44166</v>
      </c>
      <c r="B13" s="180">
        <v>4548</v>
      </c>
      <c r="D13" s="183" t="s">
        <v>160</v>
      </c>
      <c r="E13">
        <v>2973</v>
      </c>
      <c r="F13">
        <v>3924</v>
      </c>
      <c r="G13">
        <v>4050</v>
      </c>
      <c r="H13">
        <v>10947</v>
      </c>
    </row>
    <row r="14" spans="1:16">
      <c r="A14" s="178">
        <v>44197</v>
      </c>
      <c r="B14" s="179">
        <v>2429</v>
      </c>
      <c r="D14" s="183" t="s">
        <v>161</v>
      </c>
      <c r="E14">
        <v>3485</v>
      </c>
      <c r="F14">
        <v>4185</v>
      </c>
      <c r="G14">
        <v>4528</v>
      </c>
      <c r="H14">
        <v>12198</v>
      </c>
    </row>
    <row r="15" spans="1:16">
      <c r="A15" s="178">
        <v>44228</v>
      </c>
      <c r="B15" s="179">
        <v>2495</v>
      </c>
      <c r="D15" s="183" t="s">
        <v>162</v>
      </c>
      <c r="E15">
        <v>4548</v>
      </c>
      <c r="F15">
        <v>4982</v>
      </c>
      <c r="G15">
        <v>5702</v>
      </c>
      <c r="H15">
        <v>15232</v>
      </c>
    </row>
    <row r="16" spans="1:16">
      <c r="A16" s="178">
        <v>44256</v>
      </c>
      <c r="B16" s="179">
        <v>2595</v>
      </c>
      <c r="D16" s="183" t="s">
        <v>145</v>
      </c>
      <c r="E16">
        <v>35781</v>
      </c>
      <c r="F16">
        <v>39848</v>
      </c>
      <c r="G16">
        <v>45436</v>
      </c>
      <c r="H16">
        <v>121065</v>
      </c>
    </row>
    <row r="17" spans="1:2">
      <c r="A17" s="178">
        <v>44287</v>
      </c>
      <c r="B17" s="179">
        <v>3383</v>
      </c>
    </row>
    <row r="18" spans="1:2">
      <c r="A18" s="178">
        <v>44317</v>
      </c>
      <c r="B18" s="179">
        <v>3426</v>
      </c>
    </row>
    <row r="19" spans="1:2">
      <c r="A19" s="178">
        <v>44348</v>
      </c>
      <c r="B19" s="179">
        <v>3654</v>
      </c>
    </row>
    <row r="20" spans="1:2">
      <c r="A20" s="178">
        <v>44378</v>
      </c>
      <c r="B20" s="179">
        <v>2629</v>
      </c>
    </row>
    <row r="21" spans="1:2">
      <c r="A21" s="178">
        <v>44409</v>
      </c>
      <c r="B21" s="179">
        <v>2996</v>
      </c>
    </row>
    <row r="22" spans="1:2">
      <c r="A22" s="178">
        <v>44440</v>
      </c>
      <c r="B22" s="179">
        <v>3150</v>
      </c>
    </row>
    <row r="23" spans="1:2">
      <c r="A23" s="178">
        <v>44470</v>
      </c>
      <c r="B23" s="179">
        <v>3924</v>
      </c>
    </row>
    <row r="24" spans="1:2">
      <c r="A24" s="178">
        <v>44501</v>
      </c>
      <c r="B24" s="179">
        <v>4185</v>
      </c>
    </row>
    <row r="25" spans="1:2">
      <c r="A25" s="178">
        <v>44531</v>
      </c>
      <c r="B25" s="180">
        <v>4982</v>
      </c>
    </row>
    <row r="26" spans="1:2">
      <c r="A26" s="178">
        <v>44562</v>
      </c>
      <c r="B26" s="179">
        <v>2712</v>
      </c>
    </row>
    <row r="27" spans="1:2">
      <c r="A27" s="178">
        <v>44593</v>
      </c>
      <c r="B27" s="179">
        <v>3229</v>
      </c>
    </row>
    <row r="28" spans="1:2">
      <c r="A28" s="178">
        <v>44621</v>
      </c>
      <c r="B28" s="179">
        <v>3077</v>
      </c>
    </row>
    <row r="29" spans="1:2">
      <c r="A29" s="178">
        <v>44652</v>
      </c>
      <c r="B29" s="179">
        <v>3646</v>
      </c>
    </row>
    <row r="30" spans="1:2">
      <c r="A30" s="178">
        <v>44682</v>
      </c>
      <c r="B30" s="179">
        <v>3998</v>
      </c>
    </row>
    <row r="31" spans="1:2">
      <c r="A31" s="178">
        <v>44713</v>
      </c>
      <c r="B31" s="179">
        <v>4062</v>
      </c>
    </row>
    <row r="32" spans="1:2">
      <c r="A32" s="178">
        <v>44743</v>
      </c>
      <c r="B32" s="179">
        <v>3171</v>
      </c>
    </row>
    <row r="33" spans="1:2">
      <c r="A33" s="178">
        <v>44774</v>
      </c>
      <c r="B33" s="179">
        <v>3638</v>
      </c>
    </row>
    <row r="34" spans="1:2">
      <c r="A34" s="178">
        <v>44805</v>
      </c>
      <c r="B34" s="179">
        <v>3623</v>
      </c>
    </row>
    <row r="35" spans="1:2">
      <c r="A35" s="178">
        <v>44835</v>
      </c>
      <c r="B35" s="179">
        <v>4050</v>
      </c>
    </row>
    <row r="36" spans="1:2">
      <c r="A36" s="178">
        <v>44866</v>
      </c>
      <c r="B36" s="179">
        <v>4528</v>
      </c>
    </row>
    <row r="37" spans="1:2" ht="15" thickBot="1">
      <c r="A37" s="178">
        <v>44896</v>
      </c>
      <c r="B37" s="181">
        <v>5702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0229-FA71-48E2-8592-D469F6B149C8}">
  <sheetPr codeName="Sheet5"/>
  <dimension ref="A1:Z102"/>
  <sheetViews>
    <sheetView topLeftCell="A38" zoomScale="110" workbookViewId="0">
      <selection activeCell="H37" sqref="H37:I49"/>
    </sheetView>
  </sheetViews>
  <sheetFormatPr defaultColWidth="8.88671875" defaultRowHeight="14.4"/>
  <cols>
    <col min="1" max="1" width="10.88671875" bestFit="1" customWidth="1"/>
    <col min="2" max="2" width="19.44140625" customWidth="1"/>
    <col min="3" max="3" width="25.88671875" customWidth="1"/>
    <col min="4" max="4" width="19.44140625" customWidth="1"/>
    <col min="5" max="5" width="25.88671875" customWidth="1"/>
    <col min="6" max="7" width="19.44140625" customWidth="1"/>
    <col min="8" max="8" width="46.5546875" bestFit="1" customWidth="1"/>
    <col min="9" max="9" width="50.44140625" bestFit="1" customWidth="1"/>
    <col min="10" max="10" width="19.44140625" bestFit="1" customWidth="1"/>
    <col min="11" max="11" width="13" bestFit="1" customWidth="1"/>
    <col min="12" max="12" width="14.5546875" bestFit="1" customWidth="1"/>
    <col min="13" max="13" width="13" bestFit="1" customWidth="1"/>
    <col min="14" max="14" width="12.33203125" bestFit="1" customWidth="1"/>
    <col min="15" max="15" width="13.44140625" bestFit="1" customWidth="1"/>
    <col min="16" max="18" width="13" bestFit="1" customWidth="1"/>
  </cols>
  <sheetData>
    <row r="1" spans="1:15" ht="44.25" customHeight="1" thickBot="1">
      <c r="A1" s="19" t="s">
        <v>37</v>
      </c>
      <c r="B1" s="20" t="s">
        <v>38</v>
      </c>
      <c r="C1" s="161" t="s">
        <v>135</v>
      </c>
      <c r="D1" s="20" t="s">
        <v>39</v>
      </c>
      <c r="E1" s="20" t="s">
        <v>136</v>
      </c>
      <c r="F1" s="20" t="s">
        <v>40</v>
      </c>
      <c r="G1" s="21" t="s">
        <v>12</v>
      </c>
      <c r="J1" s="22" t="s">
        <v>41</v>
      </c>
      <c r="K1" s="23"/>
    </row>
    <row r="2" spans="1:15" ht="15.6">
      <c r="A2" s="24">
        <v>43831</v>
      </c>
      <c r="B2" s="110">
        <f>GETPIVOTDATA("Demand",'Pivot Table and Chart Pt1'!$D$2,"Months (Month)",1,"Years (Month)",2020)</f>
        <v>2323</v>
      </c>
      <c r="C2" s="25"/>
      <c r="D2" s="87">
        <f>B2/$C$13</f>
        <v>0.77907269221094999</v>
      </c>
      <c r="E2" s="162">
        <f>AVERAGE(D2,D14,D26)</f>
        <v>0.74227084965074785</v>
      </c>
      <c r="F2" s="87">
        <f>B2/E2</f>
        <v>3129.5853812567398</v>
      </c>
      <c r="G2" s="26">
        <v>1</v>
      </c>
      <c r="I2" s="45" t="s">
        <v>94</v>
      </c>
      <c r="J2" t="s">
        <v>164</v>
      </c>
    </row>
    <row r="3" spans="1:15" ht="16.2" thickBot="1">
      <c r="A3" s="24">
        <v>43862</v>
      </c>
      <c r="B3" s="110">
        <f>GETPIVOTDATA("Demand",'Pivot Table and Chart Pt1'!$D$2,"Months (Month)",2,"Years (Month)",2020)</f>
        <v>2804</v>
      </c>
      <c r="C3" s="25"/>
      <c r="D3" s="87">
        <f t="shared" ref="D3:D13" si="0">B3/$C$13</f>
        <v>0.94038735641821081</v>
      </c>
      <c r="E3" s="162">
        <f>AVERAGE(D3,D15,D27)</f>
        <v>0.84818214999857544</v>
      </c>
      <c r="F3" s="87">
        <f t="shared" ref="F3:F13" si="1">B3/E3</f>
        <v>3305.8936691897011</v>
      </c>
      <c r="G3" s="26">
        <v>2</v>
      </c>
    </row>
    <row r="4" spans="1:15" ht="15.6">
      <c r="A4" s="24">
        <v>43891</v>
      </c>
      <c r="B4" s="110">
        <f>GETPIVOTDATA("Demand",'Pivot Table and Chart Pt1'!$D$2,"Months (Month)",3,"Years (Month)",2020)</f>
        <v>2469</v>
      </c>
      <c r="C4" s="25"/>
      <c r="D4" s="87">
        <f t="shared" si="0"/>
        <v>0.82803722646097089</v>
      </c>
      <c r="E4" s="162">
        <f t="shared" ref="E4:E13" si="2">AVERAGE(D4,D16,D28)</f>
        <v>0.8073887919947772</v>
      </c>
      <c r="F4" s="87">
        <f t="shared" si="1"/>
        <v>3058.0062845558691</v>
      </c>
      <c r="G4" s="26">
        <v>3</v>
      </c>
      <c r="J4" s="186" t="s">
        <v>165</v>
      </c>
      <c r="K4" s="186"/>
    </row>
    <row r="5" spans="1:15" ht="15.6">
      <c r="A5" s="24">
        <v>43922</v>
      </c>
      <c r="B5" s="110">
        <f>GETPIVOTDATA("Demand",'Pivot Table and Chart Pt1'!$D$2,"Months (Month)",4,"Years (Month)",2020)</f>
        <v>3278</v>
      </c>
      <c r="C5" s="25"/>
      <c r="D5" s="87">
        <f t="shared" si="0"/>
        <v>1.0993544059696487</v>
      </c>
      <c r="E5" s="162">
        <f t="shared" si="2"/>
        <v>1.0270208717579978</v>
      </c>
      <c r="F5" s="87">
        <f t="shared" si="1"/>
        <v>3191.7559712188709</v>
      </c>
      <c r="G5" s="26">
        <v>4</v>
      </c>
      <c r="J5" t="s">
        <v>166</v>
      </c>
      <c r="K5">
        <v>0.8208427405885943</v>
      </c>
    </row>
    <row r="6" spans="1:15" ht="15.6">
      <c r="A6" s="24">
        <v>43952</v>
      </c>
      <c r="B6" s="110">
        <f>GETPIVOTDATA("Demand",'Pivot Table and Chart Pt1'!$D$2,"Months (Month)",5,"Years (Month)",2020)</f>
        <v>3617</v>
      </c>
      <c r="C6" s="25"/>
      <c r="D6" s="87">
        <f t="shared" si="0"/>
        <v>1.2130460300159303</v>
      </c>
      <c r="E6" s="162">
        <f t="shared" si="2"/>
        <v>1.1002231254687682</v>
      </c>
      <c r="F6" s="87">
        <f t="shared" si="1"/>
        <v>3287.514974254806</v>
      </c>
      <c r="G6" s="26">
        <v>5</v>
      </c>
      <c r="J6" t="s">
        <v>167</v>
      </c>
      <c r="K6">
        <v>0.67378280477699426</v>
      </c>
    </row>
    <row r="7" spans="1:15" ht="15.6">
      <c r="A7" s="24">
        <v>43983</v>
      </c>
      <c r="B7" s="110">
        <f>GETPIVOTDATA("Demand",'Pivot Table and Chart Pt1'!$D$2,"Months (Month)",6,"Years (Month)",2020)</f>
        <v>2669</v>
      </c>
      <c r="C7" s="25"/>
      <c r="D7" s="87">
        <f t="shared" si="0"/>
        <v>0.89511193091305441</v>
      </c>
      <c r="E7" s="162">
        <f t="shared" si="2"/>
        <v>1.0227663617162381</v>
      </c>
      <c r="F7" s="87">
        <f t="shared" si="1"/>
        <v>2609.5891494918974</v>
      </c>
      <c r="G7" s="26">
        <v>6</v>
      </c>
      <c r="J7" t="s">
        <v>168</v>
      </c>
      <c r="K7">
        <v>0.66418818138808233</v>
      </c>
    </row>
    <row r="8" spans="1:15" ht="15.6">
      <c r="A8" s="24">
        <v>44013</v>
      </c>
      <c r="B8" s="110">
        <f>GETPIVOTDATA("Demand",'Pivot Table and Chart Pt1'!$D$2,"Months (Month)",7,"Years (Month)",2020)</f>
        <v>2010</v>
      </c>
      <c r="C8" s="25"/>
      <c r="D8" s="87">
        <f t="shared" si="0"/>
        <v>0.67410077974343929</v>
      </c>
      <c r="E8" s="162">
        <f t="shared" si="2"/>
        <v>0.76776498872576215</v>
      </c>
      <c r="F8" s="87">
        <f t="shared" si="1"/>
        <v>2617.9886156777484</v>
      </c>
      <c r="G8" s="26">
        <v>7</v>
      </c>
      <c r="J8" t="s">
        <v>169</v>
      </c>
      <c r="K8">
        <v>225.11471180593801</v>
      </c>
    </row>
    <row r="9" spans="1:15" ht="16.2" thickBot="1">
      <c r="A9" s="24">
        <v>44044</v>
      </c>
      <c r="B9" s="110">
        <f>GETPIVOTDATA("Demand",'Pivot Table and Chart Pt1'!$D$2,"Months (Month)",8,"Years (Month)",2020)</f>
        <v>2715</v>
      </c>
      <c r="C9" s="25"/>
      <c r="D9" s="87">
        <f t="shared" si="0"/>
        <v>0.9105391129370336</v>
      </c>
      <c r="E9" s="162">
        <f t="shared" si="2"/>
        <v>0.92453053243824102</v>
      </c>
      <c r="F9" s="87">
        <f t="shared" si="1"/>
        <v>2936.6255680488985</v>
      </c>
      <c r="G9" s="26">
        <v>8</v>
      </c>
      <c r="J9" s="184" t="s">
        <v>170</v>
      </c>
      <c r="K9" s="184">
        <v>36</v>
      </c>
    </row>
    <row r="10" spans="1:15" ht="15.6">
      <c r="A10" s="24">
        <v>44075</v>
      </c>
      <c r="B10" s="110">
        <f>GETPIVOTDATA("Demand",'Pivot Table and Chart Pt1'!$D$2,"Months (Month)",9,"Years (Month)",2020)</f>
        <v>2890</v>
      </c>
      <c r="C10" s="25"/>
      <c r="D10" s="87">
        <f t="shared" si="0"/>
        <v>0.96922947933260672</v>
      </c>
      <c r="E10" s="162">
        <f t="shared" si="2"/>
        <v>0.95823219234786194</v>
      </c>
      <c r="F10" s="87">
        <f t="shared" si="1"/>
        <v>3015.9704746705679</v>
      </c>
      <c r="G10" s="26">
        <v>9</v>
      </c>
    </row>
    <row r="11" spans="1:15" ht="16.2" thickBot="1">
      <c r="A11" s="24">
        <v>44105</v>
      </c>
      <c r="B11" s="110">
        <f>GETPIVOTDATA("Demand",'Pivot Table and Chart Pt1'!$D$2,"Months (Month)",10,"Years (Month)",2020)</f>
        <v>2973</v>
      </c>
      <c r="C11" s="25"/>
      <c r="D11" s="87">
        <f t="shared" si="0"/>
        <v>0.99706548168022135</v>
      </c>
      <c r="E11" s="162">
        <f t="shared" si="2"/>
        <v>1.0827974389819646</v>
      </c>
      <c r="F11" s="87">
        <f t="shared" si="1"/>
        <v>2745.665895548465</v>
      </c>
      <c r="G11" s="26">
        <v>10</v>
      </c>
      <c r="J11" t="s">
        <v>171</v>
      </c>
    </row>
    <row r="12" spans="1:15" ht="15.6">
      <c r="A12" s="24">
        <v>44136</v>
      </c>
      <c r="B12" s="110">
        <f>GETPIVOTDATA("Demand",'Pivot Table and Chart Pt1'!$D$2,"Months (Month)",11,"Years (Month)",2020)</f>
        <v>3485</v>
      </c>
      <c r="C12" s="25"/>
      <c r="D12" s="87">
        <f t="shared" si="0"/>
        <v>1.1687767250775551</v>
      </c>
      <c r="E12" s="162">
        <f t="shared" si="2"/>
        <v>1.2083152475530312</v>
      </c>
      <c r="F12" s="87">
        <f t="shared" si="1"/>
        <v>2884.1811001371548</v>
      </c>
      <c r="G12" s="26">
        <v>11</v>
      </c>
      <c r="J12" s="185"/>
      <c r="K12" s="185" t="s">
        <v>176</v>
      </c>
      <c r="L12" s="185" t="s">
        <v>177</v>
      </c>
      <c r="M12" s="185" t="s">
        <v>178</v>
      </c>
      <c r="N12" s="185" t="s">
        <v>179</v>
      </c>
      <c r="O12" s="185" t="s">
        <v>180</v>
      </c>
    </row>
    <row r="13" spans="1:15" ht="15.6">
      <c r="A13" s="24">
        <v>44166</v>
      </c>
      <c r="B13" s="111">
        <f>GETPIVOTDATA("Demand",'Pivot Table and Chart Pt1'!$D$2,"Months (Month)",12,"Years (Month)",2020)</f>
        <v>4548</v>
      </c>
      <c r="C13" s="86">
        <f>AVERAGE(B2:B13)</f>
        <v>2981.75</v>
      </c>
      <c r="D13" s="87">
        <f t="shared" si="0"/>
        <v>1.525278779240379</v>
      </c>
      <c r="E13" s="162">
        <f t="shared" si="2"/>
        <v>1.5105074493660344</v>
      </c>
      <c r="F13" s="87">
        <f t="shared" si="1"/>
        <v>3010.908686288712</v>
      </c>
      <c r="G13" s="26">
        <v>12</v>
      </c>
      <c r="J13" t="s">
        <v>172</v>
      </c>
      <c r="K13">
        <v>1</v>
      </c>
      <c r="L13">
        <v>3558768.5782980258</v>
      </c>
      <c r="M13">
        <v>3558768.5782980258</v>
      </c>
      <c r="N13">
        <v>70.225039323133203</v>
      </c>
      <c r="O13">
        <v>8.7638991136801479E-10</v>
      </c>
    </row>
    <row r="14" spans="1:15" ht="15.6">
      <c r="A14" s="24">
        <v>44197</v>
      </c>
      <c r="B14" s="110">
        <f>GETPIVOTDATA("Demand",'Pivot Table and Chart Pt1'!$D$2,"Months (Month)",1,"Years (Month)",2021)</f>
        <v>2429</v>
      </c>
      <c r="C14" s="25"/>
      <c r="D14" s="87">
        <f>B14/$C$25</f>
        <v>0.73147962256574983</v>
      </c>
      <c r="E14" s="87"/>
      <c r="F14" s="87">
        <f>B14/E2</f>
        <v>3272.3903965013437</v>
      </c>
      <c r="G14" s="26">
        <v>13</v>
      </c>
      <c r="J14" t="s">
        <v>173</v>
      </c>
      <c r="K14">
        <v>34</v>
      </c>
      <c r="L14">
        <v>1723005.5380299978</v>
      </c>
      <c r="M14">
        <v>50676.633471470523</v>
      </c>
    </row>
    <row r="15" spans="1:15" ht="16.2" thickBot="1">
      <c r="A15" s="24">
        <v>44228</v>
      </c>
      <c r="B15" s="110">
        <f>GETPIVOTDATA("Demand",'Pivot Table and Chart Pt1'!$D$2,"Months (Month)",2,"Years (Month)",2021)</f>
        <v>2495</v>
      </c>
      <c r="C15" s="25"/>
      <c r="D15" s="87">
        <f t="shared" ref="D15:D25" si="3">B15/$C$25</f>
        <v>0.7513551495683598</v>
      </c>
      <c r="E15" s="87"/>
      <c r="F15" s="87">
        <f t="shared" ref="F15:F25" si="4">B15/E3</f>
        <v>2941.5851300386248</v>
      </c>
      <c r="G15" s="26">
        <v>14</v>
      </c>
      <c r="J15" s="184" t="s">
        <v>174</v>
      </c>
      <c r="K15" s="184">
        <v>35</v>
      </c>
      <c r="L15" s="184">
        <v>5281774.1163280234</v>
      </c>
      <c r="M15" s="184"/>
      <c r="N15" s="184"/>
      <c r="O15" s="184"/>
    </row>
    <row r="16" spans="1:15" ht="16.2" thickBot="1">
      <c r="A16" s="24">
        <v>44256</v>
      </c>
      <c r="B16" s="110">
        <f>GETPIVOTDATA("Demand",'Pivot Table and Chart Pt1'!$D$2,"Months (Month)",3,"Years (Month)",2021)</f>
        <v>2595</v>
      </c>
      <c r="C16" s="25"/>
      <c r="D16" s="87">
        <f t="shared" si="3"/>
        <v>0.78146958442079906</v>
      </c>
      <c r="E16" s="87"/>
      <c r="F16" s="87">
        <f t="shared" si="4"/>
        <v>3214.0649284821711</v>
      </c>
      <c r="G16" s="26">
        <v>15</v>
      </c>
    </row>
    <row r="17" spans="1:18" ht="15.6">
      <c r="A17" s="24">
        <v>44287</v>
      </c>
      <c r="B17" s="110">
        <f>GETPIVOTDATA("Demand",'Pivot Table and Chart Pt1'!$D$2,"Months (Month)",4,"Years (Month)",2021)</f>
        <v>3383</v>
      </c>
      <c r="C17" s="25"/>
      <c r="D17" s="87">
        <f t="shared" si="3"/>
        <v>1.0187713310580204</v>
      </c>
      <c r="E17" s="87"/>
      <c r="F17" s="87">
        <f t="shared" si="4"/>
        <v>3293.9934260626728</v>
      </c>
      <c r="G17" s="26">
        <v>16</v>
      </c>
      <c r="J17" s="185"/>
      <c r="K17" s="185" t="s">
        <v>181</v>
      </c>
      <c r="L17" s="185" t="s">
        <v>169</v>
      </c>
      <c r="M17" s="185" t="s">
        <v>182</v>
      </c>
      <c r="N17" s="185" t="s">
        <v>183</v>
      </c>
      <c r="O17" s="185" t="s">
        <v>184</v>
      </c>
      <c r="P17" s="185" t="s">
        <v>185</v>
      </c>
      <c r="Q17" s="185" t="s">
        <v>186</v>
      </c>
      <c r="R17" s="185" t="s">
        <v>187</v>
      </c>
    </row>
    <row r="18" spans="1:18" ht="15.6">
      <c r="A18" s="24">
        <v>44317</v>
      </c>
      <c r="B18" s="110">
        <f>GETPIVOTDATA("Demand",'Pivot Table and Chart Pt1'!$D$2,"Months (Month)",5,"Years (Month)",2021)</f>
        <v>3426</v>
      </c>
      <c r="C18" s="25"/>
      <c r="D18" s="87">
        <f t="shared" si="3"/>
        <v>1.0317205380445693</v>
      </c>
      <c r="E18" s="87"/>
      <c r="F18" s="87">
        <f t="shared" si="4"/>
        <v>3113.9138241075384</v>
      </c>
      <c r="G18" s="26">
        <v>17</v>
      </c>
      <c r="J18" t="s">
        <v>175</v>
      </c>
      <c r="K18">
        <v>2803.2972891020227</v>
      </c>
      <c r="L18">
        <v>76.629330902929809</v>
      </c>
      <c r="M18">
        <v>36.582562526261633</v>
      </c>
      <c r="N18">
        <v>6.8666329064983217E-29</v>
      </c>
      <c r="O18">
        <v>2647.5677521218531</v>
      </c>
      <c r="P18">
        <v>2959.0268260821922</v>
      </c>
      <c r="Q18">
        <v>2647.5677521218531</v>
      </c>
      <c r="R18">
        <v>2959.0268260821922</v>
      </c>
    </row>
    <row r="19" spans="1:18" ht="16.2" thickBot="1">
      <c r="A19" s="24">
        <v>44348</v>
      </c>
      <c r="B19" s="110">
        <f>GETPIVOTDATA("Demand",'Pivot Table and Chart Pt1'!$D$2,"Months (Month)",6,"Years (Month)",2021)</f>
        <v>3654</v>
      </c>
      <c r="C19" s="25"/>
      <c r="D19" s="87">
        <f t="shared" si="3"/>
        <v>1.100381449508131</v>
      </c>
      <c r="E19" s="87"/>
      <c r="F19" s="87">
        <f t="shared" si="4"/>
        <v>3572.6634515711476</v>
      </c>
      <c r="G19" s="26">
        <v>18</v>
      </c>
      <c r="J19" s="184" t="s">
        <v>188</v>
      </c>
      <c r="K19" s="184">
        <v>30.265953612629811</v>
      </c>
      <c r="L19" s="184">
        <v>3.611672534953164</v>
      </c>
      <c r="M19" s="184">
        <v>8.3800381456848498</v>
      </c>
      <c r="N19" s="184">
        <v>8.76389911368021E-10</v>
      </c>
      <c r="O19" s="184">
        <v>22.926151934017636</v>
      </c>
      <c r="P19" s="184">
        <v>37.605755291241984</v>
      </c>
      <c r="Q19" s="184">
        <v>22.926151934017636</v>
      </c>
      <c r="R19" s="184">
        <v>37.605755291241984</v>
      </c>
    </row>
    <row r="20" spans="1:18" ht="15.6">
      <c r="A20" s="24">
        <v>44378</v>
      </c>
      <c r="B20" s="110">
        <f>GETPIVOTDATA("Demand",'Pivot Table and Chart Pt1'!$D$2,"Months (Month)",7,"Years (Month)",2021)</f>
        <v>2629</v>
      </c>
      <c r="C20" s="25"/>
      <c r="D20" s="87">
        <f t="shared" si="3"/>
        <v>0.79170849227062845</v>
      </c>
      <c r="E20" s="87"/>
      <c r="F20" s="87">
        <f t="shared" si="4"/>
        <v>3424.2249107546268</v>
      </c>
      <c r="G20" s="26">
        <v>19</v>
      </c>
    </row>
    <row r="21" spans="1:18" ht="15.6">
      <c r="A21" s="24">
        <v>44409</v>
      </c>
      <c r="B21" s="110">
        <f>GETPIVOTDATA("Demand",'Pivot Table and Chart Pt1'!$D$2,"Months (Month)",8,"Years (Month)",2021)</f>
        <v>2996</v>
      </c>
      <c r="C21" s="25"/>
      <c r="D21" s="87">
        <f t="shared" si="3"/>
        <v>0.90222846817908053</v>
      </c>
      <c r="E21" s="87"/>
      <c r="F21" s="87">
        <f t="shared" si="4"/>
        <v>3240.5636102668504</v>
      </c>
      <c r="G21" s="26">
        <v>20</v>
      </c>
    </row>
    <row r="22" spans="1:18" ht="15.6">
      <c r="A22" s="24">
        <v>44440</v>
      </c>
      <c r="B22" s="110">
        <f>GETPIVOTDATA("Demand",'Pivot Table and Chart Pt1'!$D$2,"Months (Month)",9,"Years (Month)",2021)</f>
        <v>3150</v>
      </c>
      <c r="C22" s="25"/>
      <c r="D22" s="87">
        <f t="shared" si="3"/>
        <v>0.94860469785183699</v>
      </c>
      <c r="E22" s="87"/>
      <c r="F22" s="87">
        <f t="shared" si="4"/>
        <v>3287.3034585509649</v>
      </c>
      <c r="G22" s="26">
        <v>21</v>
      </c>
    </row>
    <row r="23" spans="1:18" ht="15.6">
      <c r="A23" s="24">
        <v>44470</v>
      </c>
      <c r="B23" s="110">
        <f>GETPIVOTDATA("Demand",'Pivot Table and Chart Pt1'!$D$2,"Months (Month)",10,"Years (Month)",2021)</f>
        <v>3924</v>
      </c>
      <c r="C23" s="25"/>
      <c r="D23" s="87">
        <f t="shared" si="3"/>
        <v>1.181690423609717</v>
      </c>
      <c r="E23" s="87"/>
      <c r="F23" s="87">
        <f t="shared" si="4"/>
        <v>3623.9465099670961</v>
      </c>
      <c r="G23" s="26">
        <v>22</v>
      </c>
    </row>
    <row r="24" spans="1:18" ht="15.6">
      <c r="A24" s="24">
        <v>44501</v>
      </c>
      <c r="B24" s="110">
        <f>GETPIVOTDATA("Demand",'Pivot Table and Chart Pt1'!$D$2,"Months (Month)",11,"Years (Month)",2021)</f>
        <v>4185</v>
      </c>
      <c r="C24" s="25"/>
      <c r="D24" s="87">
        <f t="shared" si="3"/>
        <v>1.2602890985745834</v>
      </c>
      <c r="E24" s="87"/>
      <c r="F24" s="87">
        <f t="shared" si="4"/>
        <v>3463.5001159466265</v>
      </c>
      <c r="G24" s="26">
        <v>23</v>
      </c>
    </row>
    <row r="25" spans="1:18" ht="15.6">
      <c r="A25" s="24">
        <v>44531</v>
      </c>
      <c r="B25" s="111">
        <f>GETPIVOTDATA("Demand",'Pivot Table and Chart Pt1'!$D$2,"Months (Month)",12,"Years (Month)",2021)</f>
        <v>4982</v>
      </c>
      <c r="C25" s="28">
        <f>AVERAGE(B14:B25)</f>
        <v>3320.6666666666665</v>
      </c>
      <c r="D25" s="87">
        <f t="shared" si="3"/>
        <v>1.5003011443485244</v>
      </c>
      <c r="E25" s="88"/>
      <c r="F25" s="87">
        <f t="shared" si="4"/>
        <v>3298.2293480849526</v>
      </c>
      <c r="G25" s="26">
        <v>24</v>
      </c>
    </row>
    <row r="26" spans="1:18" ht="15.6">
      <c r="A26" s="24">
        <v>44562</v>
      </c>
      <c r="B26" s="110">
        <f>GETPIVOTDATA("Demand",'Pivot Table and Chart Pt1'!$D$2,"Months (Month)",1,"Years (Month)",2022)</f>
        <v>2712</v>
      </c>
      <c r="C26" s="25"/>
      <c r="D26" s="87">
        <f>B26/$C$37</f>
        <v>0.71626023417554363</v>
      </c>
      <c r="E26" s="87"/>
      <c r="F26" s="87">
        <f>B26/E2</f>
        <v>3653.6528428619367</v>
      </c>
      <c r="G26" s="26">
        <v>25</v>
      </c>
    </row>
    <row r="27" spans="1:18" ht="15.6">
      <c r="A27" s="24">
        <v>44593</v>
      </c>
      <c r="B27" s="110">
        <f>GETPIVOTDATA("Demand",'Pivot Table and Chart Pt1'!$D$2,"Months (Month)",2,"Years (Month)",2022)</f>
        <v>3229</v>
      </c>
      <c r="C27" s="25"/>
      <c r="D27" s="87">
        <f t="shared" ref="D27:D37" si="5">B27/$C$37</f>
        <v>0.85280394400915571</v>
      </c>
      <c r="E27" s="87"/>
      <c r="F27" s="87">
        <f t="shared" ref="F27:F37" si="6">B27/E3</f>
        <v>3806.965284526942</v>
      </c>
      <c r="G27" s="26">
        <v>26</v>
      </c>
    </row>
    <row r="28" spans="1:18" ht="15.6">
      <c r="A28" s="24">
        <v>44621</v>
      </c>
      <c r="B28" s="110">
        <f>GETPIVOTDATA("Demand",'Pivot Table and Chart Pt1'!$D$2,"Months (Month)",3,"Years (Month)",2022)</f>
        <v>3077</v>
      </c>
      <c r="C28" s="25"/>
      <c r="D28" s="87">
        <f t="shared" si="5"/>
        <v>0.81265956510256177</v>
      </c>
      <c r="E28" s="87"/>
      <c r="F28" s="87">
        <f t="shared" si="6"/>
        <v>3811.0511695335799</v>
      </c>
      <c r="G28" s="26">
        <v>27</v>
      </c>
    </row>
    <row r="29" spans="1:18" ht="15.6">
      <c r="A29" s="24">
        <v>44652</v>
      </c>
      <c r="B29" s="110">
        <f>GETPIVOTDATA("Demand",'Pivot Table and Chart Pt1'!$D$2,"Months (Month)",4,"Years (Month)",2022)</f>
        <v>3646</v>
      </c>
      <c r="C29" s="25"/>
      <c r="D29" s="87">
        <f t="shared" si="5"/>
        <v>0.96293687824632446</v>
      </c>
      <c r="E29" s="87"/>
      <c r="F29" s="87">
        <f t="shared" si="6"/>
        <v>3550.073908195242</v>
      </c>
      <c r="G29" s="26">
        <v>28</v>
      </c>
    </row>
    <row r="30" spans="1:18" ht="15.6">
      <c r="A30" s="24">
        <v>44682</v>
      </c>
      <c r="B30" s="110">
        <f>GETPIVOTDATA("Demand",'Pivot Table and Chart Pt1'!$D$2,"Months (Month)",5,"Years (Month)",2022)</f>
        <v>3998</v>
      </c>
      <c r="C30" s="25"/>
      <c r="D30" s="87">
        <f t="shared" si="5"/>
        <v>1.0559028083458051</v>
      </c>
      <c r="E30" s="87"/>
      <c r="F30" s="87">
        <f t="shared" si="6"/>
        <v>3633.8083680040686</v>
      </c>
      <c r="G30" s="26">
        <v>29</v>
      </c>
    </row>
    <row r="31" spans="1:18" ht="15.6">
      <c r="A31" s="24">
        <v>44713</v>
      </c>
      <c r="B31" s="110">
        <f>GETPIVOTDATA("Demand",'Pivot Table and Chart Pt1'!$D$2,"Months (Month)",6,"Years (Month)",2022)</f>
        <v>4062</v>
      </c>
      <c r="C31" s="25"/>
      <c r="D31" s="87">
        <f t="shared" si="5"/>
        <v>1.0728057047275288</v>
      </c>
      <c r="E31" s="87"/>
      <c r="F31" s="87">
        <f t="shared" si="6"/>
        <v>3971.5815381176794</v>
      </c>
      <c r="G31" s="26">
        <v>30</v>
      </c>
    </row>
    <row r="32" spans="1:18" ht="15.6">
      <c r="A32" s="24">
        <v>44743</v>
      </c>
      <c r="B32" s="110">
        <f>GETPIVOTDATA("Demand",'Pivot Table and Chart Pt1'!$D$2,"Months (Month)",7,"Years (Month)",2022)</f>
        <v>3171</v>
      </c>
      <c r="C32" s="25"/>
      <c r="D32" s="87">
        <f t="shared" si="5"/>
        <v>0.83748569416321861</v>
      </c>
      <c r="E32" s="87"/>
      <c r="F32" s="87">
        <f t="shared" si="6"/>
        <v>4130.1700996587761</v>
      </c>
      <c r="G32" s="26">
        <v>31</v>
      </c>
    </row>
    <row r="33" spans="1:9" ht="15.6">
      <c r="A33" s="24">
        <v>44774</v>
      </c>
      <c r="B33" s="110">
        <f>GETPIVOTDATA("Demand",'Pivot Table and Chart Pt1'!$D$2,"Months (Month)",8,"Years (Month)",2022)</f>
        <v>3638</v>
      </c>
      <c r="C33" s="25"/>
      <c r="D33" s="87">
        <f t="shared" si="5"/>
        <v>0.96082401619860902</v>
      </c>
      <c r="E33" s="87"/>
      <c r="F33" s="87">
        <f t="shared" si="6"/>
        <v>3934.9700981811757</v>
      </c>
      <c r="G33" s="26">
        <v>32</v>
      </c>
    </row>
    <row r="34" spans="1:9" ht="15.6">
      <c r="A34" s="24">
        <v>44805</v>
      </c>
      <c r="B34" s="110">
        <f>GETPIVOTDATA("Demand",'Pivot Table and Chart Pt1'!$D$2,"Months (Month)",9,"Years (Month)",2022)</f>
        <v>3623</v>
      </c>
      <c r="C34" s="25"/>
      <c r="D34" s="87">
        <f t="shared" si="5"/>
        <v>0.95686239985914245</v>
      </c>
      <c r="E34" s="87"/>
      <c r="F34" s="87">
        <f t="shared" si="6"/>
        <v>3780.9207715333796</v>
      </c>
      <c r="G34" s="26">
        <v>33</v>
      </c>
    </row>
    <row r="35" spans="1:9" ht="15.6">
      <c r="A35" s="24">
        <v>44835</v>
      </c>
      <c r="B35" s="110">
        <f>GETPIVOTDATA("Demand",'Pivot Table and Chart Pt1'!$D$2,"Months (Month)",10,"Years (Month)",2022)</f>
        <v>4050</v>
      </c>
      <c r="C35" s="25"/>
      <c r="D35" s="87">
        <f t="shared" si="5"/>
        <v>1.0696364116559556</v>
      </c>
      <c r="E35" s="87"/>
      <c r="F35" s="87">
        <f t="shared" si="6"/>
        <v>3740.3117648742964</v>
      </c>
      <c r="G35" s="26">
        <v>34</v>
      </c>
      <c r="I35" s="163"/>
    </row>
    <row r="36" spans="1:9" ht="16.2" thickBot="1">
      <c r="A36" s="24">
        <v>44866</v>
      </c>
      <c r="B36" s="110">
        <f>GETPIVOTDATA("Demand",'Pivot Table and Chart Pt1'!$D$2,"Months (Month)",11,"Years (Month)",2022)</f>
        <v>4528</v>
      </c>
      <c r="C36" s="25"/>
      <c r="D36" s="87">
        <f t="shared" si="5"/>
        <v>1.1958799190069549</v>
      </c>
      <c r="E36" s="87"/>
      <c r="F36" s="87">
        <f t="shared" si="6"/>
        <v>3747.3664336932675</v>
      </c>
      <c r="G36" s="26">
        <v>35</v>
      </c>
      <c r="H36" s="8" t="s">
        <v>139</v>
      </c>
    </row>
    <row r="37" spans="1:9" ht="16.2" thickBot="1">
      <c r="A37" s="24">
        <v>44896</v>
      </c>
      <c r="B37" s="110">
        <f>GETPIVOTDATA("Demand",'Pivot Table and Chart Pt1'!$D$2,"Months (Month)",12,"Years (Month)",2022)</f>
        <v>5702</v>
      </c>
      <c r="C37" s="141">
        <f>AVERAGE(B26:B37)</f>
        <v>3786.3333333333335</v>
      </c>
      <c r="D37" s="87">
        <f t="shared" si="5"/>
        <v>1.5059424245091997</v>
      </c>
      <c r="E37" s="87"/>
      <c r="F37" s="87">
        <f t="shared" si="6"/>
        <v>3774.8903538298673</v>
      </c>
      <c r="G37" s="26">
        <v>36</v>
      </c>
      <c r="H37" s="91" t="s">
        <v>42</v>
      </c>
      <c r="I37" s="91" t="s">
        <v>140</v>
      </c>
    </row>
    <row r="38" spans="1:9">
      <c r="A38" s="140"/>
      <c r="B38" s="166" t="s">
        <v>141</v>
      </c>
      <c r="C38" s="167"/>
      <c r="D38" s="167"/>
      <c r="E38" s="168"/>
      <c r="F38" s="169"/>
      <c r="G38" s="26">
        <v>37</v>
      </c>
      <c r="H38" s="90">
        <f>$K$19*G38+$K$18</f>
        <v>3923.1375727693257</v>
      </c>
      <c r="I38" s="90">
        <f>H38*E2</f>
        <v>2912.0306594362601</v>
      </c>
    </row>
    <row r="39" spans="1:9">
      <c r="A39" s="145"/>
      <c r="B39" s="170"/>
      <c r="C39" s="171"/>
      <c r="D39" s="171"/>
      <c r="E39" s="172"/>
      <c r="F39" s="173"/>
      <c r="G39" s="26">
        <v>38</v>
      </c>
      <c r="H39" s="90">
        <f t="shared" ref="H39:H49" si="7">$K$19*G39+$K$18</f>
        <v>3953.4035263819555</v>
      </c>
      <c r="I39" s="90">
        <f t="shared" ref="I39:I49" si="8">H39*E3</f>
        <v>3353.2063028185971</v>
      </c>
    </row>
    <row r="40" spans="1:9">
      <c r="A40" s="145"/>
      <c r="B40" s="164" t="s">
        <v>142</v>
      </c>
      <c r="C40" s="165"/>
      <c r="D40" s="165"/>
      <c r="E40" s="172"/>
      <c r="F40" s="173"/>
      <c r="G40" s="26">
        <v>39</v>
      </c>
      <c r="H40" s="90">
        <f t="shared" si="7"/>
        <v>3983.6694799945853</v>
      </c>
      <c r="I40" s="90">
        <f t="shared" si="8"/>
        <v>3216.3700891592907</v>
      </c>
    </row>
    <row r="41" spans="1:9">
      <c r="A41" s="145"/>
      <c r="B41" s="164"/>
      <c r="C41" s="165"/>
      <c r="D41" s="165"/>
      <c r="E41" s="172"/>
      <c r="F41" s="173"/>
      <c r="G41" s="26">
        <v>40</v>
      </c>
      <c r="H41" s="90">
        <f t="shared" si="7"/>
        <v>4013.9354336072151</v>
      </c>
      <c r="I41" s="90">
        <f t="shared" si="8"/>
        <v>4122.3954682035992</v>
      </c>
    </row>
    <row r="42" spans="1:9">
      <c r="A42" s="145"/>
      <c r="B42" s="170"/>
      <c r="C42" s="171"/>
      <c r="D42" s="171"/>
      <c r="E42" s="172"/>
      <c r="F42" s="173"/>
      <c r="G42" s="26">
        <v>41</v>
      </c>
      <c r="H42" s="90">
        <f t="shared" si="7"/>
        <v>4044.2013872198449</v>
      </c>
      <c r="I42" s="90">
        <f t="shared" si="8"/>
        <v>4449.5238902721458</v>
      </c>
    </row>
    <row r="43" spans="1:9">
      <c r="A43" s="145"/>
      <c r="B43" s="170"/>
      <c r="C43" s="171"/>
      <c r="D43" s="171"/>
      <c r="E43" s="172"/>
      <c r="F43" s="173"/>
      <c r="G43" s="26">
        <v>42</v>
      </c>
      <c r="H43" s="90">
        <f t="shared" si="7"/>
        <v>4074.4673408324747</v>
      </c>
      <c r="I43" s="90">
        <f t="shared" si="8"/>
        <v>4167.2281381148659</v>
      </c>
    </row>
    <row r="44" spans="1:9">
      <c r="A44" s="145"/>
      <c r="B44" s="170"/>
      <c r="C44" s="171"/>
      <c r="D44" s="171"/>
      <c r="E44" s="172"/>
      <c r="F44" s="173"/>
      <c r="G44" s="26">
        <v>43</v>
      </c>
      <c r="H44" s="90">
        <f t="shared" si="7"/>
        <v>4104.7332944451045</v>
      </c>
      <c r="I44" s="90">
        <f t="shared" si="8"/>
        <v>3151.4705115319061</v>
      </c>
    </row>
    <row r="45" spans="1:9">
      <c r="A45" s="145"/>
      <c r="B45" s="170"/>
      <c r="C45" s="171"/>
      <c r="D45" s="171"/>
      <c r="E45" s="172"/>
      <c r="F45" s="173"/>
      <c r="G45" s="26">
        <v>44</v>
      </c>
      <c r="H45" s="90">
        <f t="shared" si="7"/>
        <v>4134.9992480577348</v>
      </c>
      <c r="I45" s="90">
        <f t="shared" si="8"/>
        <v>3822.9330564385436</v>
      </c>
    </row>
    <row r="46" spans="1:9">
      <c r="A46" s="145"/>
      <c r="B46" s="170"/>
      <c r="C46" s="171"/>
      <c r="D46" s="171"/>
      <c r="E46" s="172"/>
      <c r="F46" s="173"/>
      <c r="G46" s="26">
        <v>45</v>
      </c>
      <c r="H46" s="90">
        <f t="shared" si="7"/>
        <v>4165.2652016703641</v>
      </c>
      <c r="I46" s="90">
        <f t="shared" si="8"/>
        <v>3991.2912059068522</v>
      </c>
    </row>
    <row r="47" spans="1:9">
      <c r="A47" s="145"/>
      <c r="B47" s="170"/>
      <c r="C47" s="171"/>
      <c r="D47" s="171"/>
      <c r="E47" s="172"/>
      <c r="F47" s="173"/>
      <c r="G47" s="26">
        <v>46</v>
      </c>
      <c r="H47" s="90">
        <f t="shared" si="7"/>
        <v>4195.5311552829935</v>
      </c>
      <c r="I47" s="90">
        <f t="shared" si="8"/>
        <v>4542.9103901094686</v>
      </c>
    </row>
    <row r="48" spans="1:9">
      <c r="A48" s="145"/>
      <c r="B48" s="170"/>
      <c r="C48" s="171"/>
      <c r="D48" s="171"/>
      <c r="E48" s="172"/>
      <c r="F48" s="173"/>
      <c r="G48" s="26">
        <v>47</v>
      </c>
      <c r="H48" s="90">
        <f t="shared" si="7"/>
        <v>4225.7971088956238</v>
      </c>
      <c r="I48" s="90">
        <f t="shared" si="8"/>
        <v>5106.0950797440992</v>
      </c>
    </row>
    <row r="49" spans="1:9" ht="15" thickBot="1">
      <c r="A49" s="145"/>
      <c r="B49" s="174"/>
      <c r="C49" s="175"/>
      <c r="D49" s="175"/>
      <c r="E49" s="176"/>
      <c r="F49" s="177"/>
      <c r="G49" s="26">
        <v>48</v>
      </c>
      <c r="H49" s="90">
        <f t="shared" si="7"/>
        <v>4256.063062508254</v>
      </c>
      <c r="I49" s="90">
        <f t="shared" si="8"/>
        <v>6428.8149608903359</v>
      </c>
    </row>
    <row r="50" spans="1:9" ht="47.4" thickBot="1">
      <c r="C50" s="142" t="s">
        <v>137</v>
      </c>
      <c r="E50" s="143" t="s">
        <v>109</v>
      </c>
      <c r="F50" s="144" t="s">
        <v>107</v>
      </c>
      <c r="H50" s="118" t="s">
        <v>138</v>
      </c>
      <c r="I50" s="92">
        <f>AVERAGE(I38:I49)</f>
        <v>4105.3558127188307</v>
      </c>
    </row>
    <row r="51" spans="1:9" ht="15.9" customHeight="1" thickBot="1">
      <c r="C51" s="98">
        <f>C37</f>
        <v>3786.3333333333335</v>
      </c>
      <c r="E51" s="96">
        <f>E13</f>
        <v>1.5105074493660344</v>
      </c>
      <c r="F51" s="93">
        <f>SUM(F2:F37)</f>
        <v>121075.82751368427</v>
      </c>
      <c r="H51" s="237" t="s">
        <v>95</v>
      </c>
      <c r="I51" s="237"/>
    </row>
    <row r="52" spans="1:9" ht="47.4" thickBot="1">
      <c r="C52" s="60" t="s">
        <v>106</v>
      </c>
      <c r="F52" s="94" t="s">
        <v>108</v>
      </c>
      <c r="H52" s="237"/>
      <c r="I52" s="237"/>
    </row>
    <row r="53" spans="1:9" ht="15" thickBot="1">
      <c r="C53" s="96">
        <f>SUM(B2:B37)</f>
        <v>121065</v>
      </c>
      <c r="F53" s="95">
        <f>AVERAGE(F2:F37)</f>
        <v>3363.2174309356742</v>
      </c>
    </row>
    <row r="54" spans="1:9" ht="15" thickBot="1">
      <c r="C54" s="69" t="s">
        <v>125</v>
      </c>
    </row>
    <row r="55" spans="1:9" ht="15" thickBot="1">
      <c r="C55" s="97">
        <f>AVERAGE(C13,C25,C37)</f>
        <v>3362.9166666666665</v>
      </c>
    </row>
    <row r="100" spans="26:26">
      <c r="Z100" t="s">
        <v>100</v>
      </c>
    </row>
    <row r="102" spans="26:26">
      <c r="Z102" t="s">
        <v>99</v>
      </c>
    </row>
  </sheetData>
  <mergeCells count="1">
    <mergeCell ref="H51:I5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D19A-C8B8-40D5-89A5-990D68874C89}">
  <dimension ref="A1:AB40"/>
  <sheetViews>
    <sheetView topLeftCell="D14" workbookViewId="0">
      <selection activeCell="L40" sqref="L40"/>
    </sheetView>
  </sheetViews>
  <sheetFormatPr defaultRowHeight="14.4"/>
  <cols>
    <col min="1" max="1" width="9.6640625" bestFit="1" customWidth="1"/>
    <col min="3" max="3" width="17.6640625" customWidth="1"/>
    <col min="4" max="4" width="16.33203125" customWidth="1"/>
    <col min="11" max="11" width="19.33203125" bestFit="1" customWidth="1"/>
    <col min="12" max="12" width="12" bestFit="1" customWidth="1"/>
    <col min="13" max="13" width="13.44140625" bestFit="1" customWidth="1"/>
    <col min="14" max="15" width="12" bestFit="1" customWidth="1"/>
    <col min="16" max="16" width="12.6640625" bestFit="1" customWidth="1"/>
    <col min="17" max="17" width="12" bestFit="1" customWidth="1"/>
    <col min="18" max="18" width="12.6640625" bestFit="1" customWidth="1"/>
    <col min="19" max="19" width="12.109375" bestFit="1" customWidth="1"/>
  </cols>
  <sheetData>
    <row r="1" spans="1:25" s="118" customFormat="1" ht="29.4" thickBot="1">
      <c r="A1" s="216" t="s">
        <v>37</v>
      </c>
      <c r="B1" s="217" t="s">
        <v>38</v>
      </c>
      <c r="C1" s="218" t="s">
        <v>200</v>
      </c>
      <c r="D1" s="218" t="s">
        <v>201</v>
      </c>
      <c r="E1" s="218" t="s">
        <v>202</v>
      </c>
      <c r="H1" t="s">
        <v>203</v>
      </c>
    </row>
    <row r="2" spans="1:25" ht="15.6">
      <c r="A2" s="24">
        <v>44470</v>
      </c>
      <c r="B2" s="219">
        <v>3634</v>
      </c>
      <c r="C2" s="220">
        <v>30</v>
      </c>
      <c r="D2" s="220">
        <v>1</v>
      </c>
      <c r="E2" s="220">
        <v>0</v>
      </c>
      <c r="H2" t="s">
        <v>204</v>
      </c>
    </row>
    <row r="3" spans="1:25" ht="15.6">
      <c r="A3" s="24">
        <v>44501</v>
      </c>
      <c r="B3" s="219">
        <v>4550</v>
      </c>
      <c r="C3" s="220">
        <v>40</v>
      </c>
      <c r="D3" s="220">
        <v>0</v>
      </c>
      <c r="E3" s="220">
        <v>1</v>
      </c>
      <c r="H3" t="s">
        <v>205</v>
      </c>
    </row>
    <row r="4" spans="1:25" ht="15.6">
      <c r="A4" s="24">
        <v>44531</v>
      </c>
      <c r="B4" s="221">
        <v>5330</v>
      </c>
      <c r="C4" s="220">
        <v>55</v>
      </c>
      <c r="D4" s="220">
        <v>1</v>
      </c>
      <c r="E4" s="220">
        <v>0</v>
      </c>
      <c r="T4" s="222"/>
      <c r="U4" s="222"/>
    </row>
    <row r="5" spans="1:25" ht="15.6">
      <c r="A5" s="24">
        <v>44562</v>
      </c>
      <c r="B5" s="219">
        <v>3100</v>
      </c>
      <c r="C5" s="220">
        <v>30</v>
      </c>
      <c r="D5" s="220">
        <v>0</v>
      </c>
      <c r="E5" s="220">
        <v>1</v>
      </c>
      <c r="H5" t="s">
        <v>206</v>
      </c>
      <c r="J5" s="222"/>
      <c r="K5" s="222"/>
    </row>
    <row r="6" spans="1:25" ht="15.6">
      <c r="A6" s="24">
        <v>44593</v>
      </c>
      <c r="B6" s="219">
        <v>2999</v>
      </c>
      <c r="C6" s="220">
        <v>30</v>
      </c>
      <c r="D6" s="220">
        <v>0</v>
      </c>
      <c r="E6" s="220">
        <v>1</v>
      </c>
      <c r="H6" t="s">
        <v>207</v>
      </c>
    </row>
    <row r="7" spans="1:25" ht="15.6">
      <c r="A7" s="24">
        <v>44621</v>
      </c>
      <c r="B7" s="219">
        <v>3051</v>
      </c>
      <c r="C7" s="220">
        <v>35</v>
      </c>
      <c r="D7" s="220">
        <v>1</v>
      </c>
      <c r="E7" s="220">
        <v>0</v>
      </c>
      <c r="H7" t="s">
        <v>208</v>
      </c>
    </row>
    <row r="8" spans="1:25" ht="15.6">
      <c r="A8" s="24">
        <v>44652</v>
      </c>
      <c r="B8" s="219">
        <v>3753</v>
      </c>
      <c r="C8" s="220">
        <v>35</v>
      </c>
      <c r="D8" s="220">
        <v>0</v>
      </c>
      <c r="E8" s="220">
        <v>1</v>
      </c>
    </row>
    <row r="9" spans="1:25" ht="15.6">
      <c r="A9" s="24">
        <v>44682</v>
      </c>
      <c r="B9" s="219">
        <v>3709</v>
      </c>
      <c r="C9" s="220">
        <v>35</v>
      </c>
      <c r="D9" s="220">
        <v>0</v>
      </c>
      <c r="E9" s="220">
        <v>1</v>
      </c>
    </row>
    <row r="10" spans="1:25" ht="15.6">
      <c r="A10" s="24">
        <v>44713</v>
      </c>
      <c r="B10" s="219">
        <v>3930</v>
      </c>
      <c r="C10" s="220">
        <v>40</v>
      </c>
      <c r="D10" s="220">
        <v>1</v>
      </c>
      <c r="E10" s="220">
        <v>0</v>
      </c>
    </row>
    <row r="11" spans="1:25" ht="15.6">
      <c r="A11" s="24">
        <v>44743</v>
      </c>
      <c r="B11" s="219">
        <v>2949</v>
      </c>
      <c r="C11" s="220">
        <v>40</v>
      </c>
      <c r="D11" s="220">
        <v>0</v>
      </c>
      <c r="E11" s="220">
        <v>1</v>
      </c>
    </row>
    <row r="12" spans="1:25" ht="15.6">
      <c r="A12" s="24">
        <v>44774</v>
      </c>
      <c r="B12" s="219">
        <v>3348</v>
      </c>
      <c r="C12" s="220">
        <v>45</v>
      </c>
      <c r="D12" s="220">
        <v>0</v>
      </c>
      <c r="E12" s="220">
        <v>1</v>
      </c>
      <c r="T12" s="223"/>
      <c r="U12" s="223"/>
      <c r="V12" s="223"/>
      <c r="W12" s="223"/>
      <c r="X12" s="223"/>
      <c r="Y12" s="223"/>
    </row>
    <row r="13" spans="1:25" ht="15.6">
      <c r="A13" s="24">
        <v>44805</v>
      </c>
      <c r="B13" s="219">
        <v>3400</v>
      </c>
      <c r="C13" s="220">
        <v>40</v>
      </c>
      <c r="D13" s="220">
        <v>0</v>
      </c>
      <c r="E13" s="220">
        <v>1</v>
      </c>
      <c r="J13" s="223"/>
      <c r="K13" s="223"/>
      <c r="L13" s="223"/>
      <c r="M13" s="223"/>
      <c r="N13" s="223"/>
      <c r="O13" s="223"/>
    </row>
    <row r="14" spans="1:25" ht="15.6">
      <c r="A14" s="24">
        <v>44835</v>
      </c>
      <c r="B14" s="219">
        <v>4400</v>
      </c>
      <c r="C14" s="220">
        <v>55</v>
      </c>
      <c r="D14" s="220">
        <v>1</v>
      </c>
      <c r="E14" s="220">
        <v>0</v>
      </c>
    </row>
    <row r="15" spans="1:25" ht="15.6">
      <c r="A15" s="24">
        <v>44866</v>
      </c>
      <c r="B15" s="219">
        <v>5079</v>
      </c>
      <c r="C15" s="220">
        <v>55</v>
      </c>
      <c r="D15" s="220">
        <v>1</v>
      </c>
      <c r="E15" s="220">
        <v>0</v>
      </c>
    </row>
    <row r="16" spans="1:25" ht="15.6">
      <c r="A16" s="24">
        <v>44896</v>
      </c>
      <c r="B16" s="219">
        <v>6087</v>
      </c>
      <c r="C16" s="220">
        <v>60</v>
      </c>
      <c r="D16" s="220">
        <v>1</v>
      </c>
      <c r="E16" s="220">
        <v>0</v>
      </c>
    </row>
    <row r="17" spans="1:28">
      <c r="A17" s="24">
        <v>44927</v>
      </c>
      <c r="B17">
        <f>$L$39*C17+$L$40*D17+$L$38</f>
        <v>1949.7956204379564</v>
      </c>
      <c r="C17" s="224">
        <v>15</v>
      </c>
      <c r="D17" s="224">
        <v>0</v>
      </c>
      <c r="E17" s="224">
        <v>1</v>
      </c>
      <c r="H17" t="s">
        <v>209</v>
      </c>
      <c r="T17" s="223"/>
      <c r="U17" s="223"/>
      <c r="V17" s="223"/>
      <c r="W17" s="223"/>
      <c r="X17" s="223"/>
      <c r="Y17" s="223"/>
      <c r="Z17" s="223"/>
      <c r="AA17" s="223"/>
      <c r="AB17" s="223"/>
    </row>
    <row r="18" spans="1:28">
      <c r="A18" s="24">
        <v>44958</v>
      </c>
      <c r="B18">
        <f t="shared" ref="B18:B28" si="0">$L$39*C18+$L$40*D18+$L$38</f>
        <v>2298.6423357664235</v>
      </c>
      <c r="C18" s="224">
        <v>20</v>
      </c>
      <c r="D18" s="224">
        <v>0</v>
      </c>
      <c r="E18" s="224">
        <v>1</v>
      </c>
      <c r="J18" s="223"/>
      <c r="K18" s="223"/>
      <c r="L18" s="223"/>
      <c r="M18" s="223"/>
      <c r="N18" s="223"/>
      <c r="O18" s="223"/>
      <c r="P18" s="223"/>
      <c r="Q18" s="223"/>
      <c r="R18" s="223"/>
    </row>
    <row r="19" spans="1:28">
      <c r="A19" s="24">
        <v>44986</v>
      </c>
      <c r="B19">
        <f t="shared" si="0"/>
        <v>2298.6423357664235</v>
      </c>
      <c r="C19" s="224">
        <v>20</v>
      </c>
      <c r="D19" s="224">
        <v>0</v>
      </c>
      <c r="E19" s="224">
        <v>1</v>
      </c>
    </row>
    <row r="20" spans="1:28">
      <c r="A20" s="24">
        <v>45017</v>
      </c>
      <c r="B20">
        <f t="shared" si="0"/>
        <v>2647.4890510948908</v>
      </c>
      <c r="C20" s="224">
        <v>25</v>
      </c>
      <c r="D20" s="224">
        <v>0</v>
      </c>
      <c r="E20" s="224">
        <v>1</v>
      </c>
    </row>
    <row r="21" spans="1:28">
      <c r="A21" s="24">
        <v>45047</v>
      </c>
      <c r="B21">
        <f t="shared" si="0"/>
        <v>2647.4890510948908</v>
      </c>
      <c r="C21" s="224">
        <v>25</v>
      </c>
      <c r="D21" s="224">
        <v>0</v>
      </c>
      <c r="E21" s="224">
        <v>1</v>
      </c>
    </row>
    <row r="22" spans="1:28">
      <c r="A22" s="24">
        <v>45078</v>
      </c>
      <c r="B22">
        <f t="shared" si="0"/>
        <v>3654.3722627737225</v>
      </c>
      <c r="C22" s="224">
        <v>35</v>
      </c>
      <c r="D22" s="224">
        <v>1</v>
      </c>
      <c r="E22" s="224">
        <v>0</v>
      </c>
      <c r="K22" t="s">
        <v>164</v>
      </c>
    </row>
    <row r="23" spans="1:28" ht="15" thickBot="1">
      <c r="A23" s="24">
        <v>45108</v>
      </c>
      <c r="B23">
        <f t="shared" si="0"/>
        <v>3654.3722627737225</v>
      </c>
      <c r="C23" s="224">
        <v>35</v>
      </c>
      <c r="D23" s="224">
        <v>1</v>
      </c>
      <c r="E23" s="224">
        <v>0</v>
      </c>
    </row>
    <row r="24" spans="1:28">
      <c r="A24" s="24">
        <v>45139</v>
      </c>
      <c r="B24">
        <f t="shared" si="0"/>
        <v>2647.4890510948908</v>
      </c>
      <c r="C24" s="224">
        <v>25</v>
      </c>
      <c r="D24" s="224">
        <v>0</v>
      </c>
      <c r="E24" s="224">
        <v>1</v>
      </c>
      <c r="K24" s="186" t="s">
        <v>165</v>
      </c>
      <c r="L24" s="186"/>
    </row>
    <row r="25" spans="1:28">
      <c r="A25" s="24">
        <v>45170</v>
      </c>
      <c r="B25">
        <f t="shared" si="0"/>
        <v>2996.3357664233581</v>
      </c>
      <c r="C25" s="224">
        <v>30</v>
      </c>
      <c r="D25" s="224">
        <v>0</v>
      </c>
      <c r="E25" s="224">
        <v>1</v>
      </c>
      <c r="K25" t="s">
        <v>166</v>
      </c>
      <c r="L25">
        <v>0.84434540565369609</v>
      </c>
    </row>
    <row r="26" spans="1:28">
      <c r="A26" s="24">
        <v>45200</v>
      </c>
      <c r="B26">
        <f t="shared" si="0"/>
        <v>4003.2189781021898</v>
      </c>
      <c r="C26" s="224">
        <v>40</v>
      </c>
      <c r="D26" s="224">
        <v>1</v>
      </c>
      <c r="E26" s="224">
        <v>0</v>
      </c>
      <c r="K26" t="s">
        <v>167</v>
      </c>
      <c r="L26">
        <v>0.71291916404850464</v>
      </c>
    </row>
    <row r="27" spans="1:28">
      <c r="A27" s="24">
        <v>45231</v>
      </c>
      <c r="B27">
        <f t="shared" si="0"/>
        <v>4003.2189781021898</v>
      </c>
      <c r="C27" s="224">
        <v>40</v>
      </c>
      <c r="D27" s="224">
        <v>1</v>
      </c>
      <c r="E27" s="224">
        <v>0</v>
      </c>
      <c r="K27" t="s">
        <v>168</v>
      </c>
      <c r="L27">
        <v>0.66507235805658871</v>
      </c>
    </row>
    <row r="28" spans="1:28">
      <c r="A28" s="24">
        <v>45261</v>
      </c>
      <c r="B28">
        <f t="shared" si="0"/>
        <v>4352.0656934306571</v>
      </c>
      <c r="C28" s="224">
        <v>45</v>
      </c>
      <c r="D28" s="224">
        <v>1</v>
      </c>
      <c r="E28" s="224">
        <v>0</v>
      </c>
      <c r="K28" t="s">
        <v>169</v>
      </c>
      <c r="L28">
        <v>549.18651186779721</v>
      </c>
    </row>
    <row r="29" spans="1:28" ht="16.2" thickBot="1">
      <c r="A29" s="110"/>
      <c r="K29" s="184" t="s">
        <v>170</v>
      </c>
      <c r="L29" s="184">
        <v>15</v>
      </c>
    </row>
    <row r="30" spans="1:28" ht="15.6">
      <c r="A30" s="110"/>
    </row>
    <row r="31" spans="1:28" ht="16.2" thickBot="1">
      <c r="A31" s="110"/>
      <c r="K31" t="s">
        <v>171</v>
      </c>
    </row>
    <row r="32" spans="1:28" ht="15.6">
      <c r="A32" s="110"/>
      <c r="K32" s="185"/>
      <c r="L32" s="185" t="s">
        <v>176</v>
      </c>
      <c r="M32" s="185" t="s">
        <v>177</v>
      </c>
      <c r="N32" s="185" t="s">
        <v>178</v>
      </c>
      <c r="O32" s="185" t="s">
        <v>179</v>
      </c>
      <c r="P32" s="185" t="s">
        <v>180</v>
      </c>
    </row>
    <row r="33" spans="1:19" ht="15.6">
      <c r="A33" s="110"/>
      <c r="K33" t="s">
        <v>172</v>
      </c>
      <c r="L33">
        <v>2</v>
      </c>
      <c r="M33">
        <v>8987875.7021897845</v>
      </c>
      <c r="N33">
        <v>4493937.8510948922</v>
      </c>
      <c r="O33">
        <v>14.900036674735569</v>
      </c>
      <c r="P33">
        <v>5.5979009935484966E-4</v>
      </c>
    </row>
    <row r="34" spans="1:19" ht="15.6">
      <c r="A34" s="110"/>
      <c r="K34" t="s">
        <v>173</v>
      </c>
      <c r="L34">
        <v>12</v>
      </c>
      <c r="M34">
        <v>3619269.8978102179</v>
      </c>
      <c r="N34">
        <v>301605.82481751818</v>
      </c>
    </row>
    <row r="35" spans="1:19" ht="16.2" thickBot="1">
      <c r="A35" s="110"/>
      <c r="K35" s="184" t="s">
        <v>174</v>
      </c>
      <c r="L35" s="184">
        <v>14</v>
      </c>
      <c r="M35" s="184">
        <v>12607145.600000001</v>
      </c>
      <c r="N35" s="184"/>
      <c r="O35" s="184"/>
      <c r="P35" s="184"/>
    </row>
    <row r="36" spans="1:19" ht="16.2" thickBot="1">
      <c r="A36" s="110"/>
    </row>
    <row r="37" spans="1:19" ht="15.6">
      <c r="A37" s="110"/>
      <c r="K37" s="185"/>
      <c r="L37" s="185" t="s">
        <v>181</v>
      </c>
      <c r="M37" s="185" t="s">
        <v>169</v>
      </c>
      <c r="N37" s="185" t="s">
        <v>182</v>
      </c>
      <c r="O37" s="185" t="s">
        <v>183</v>
      </c>
      <c r="P37" s="185" t="s">
        <v>184</v>
      </c>
      <c r="Q37" s="185" t="s">
        <v>185</v>
      </c>
      <c r="R37" s="185" t="s">
        <v>186</v>
      </c>
      <c r="S37" s="185" t="s">
        <v>187</v>
      </c>
    </row>
    <row r="38" spans="1:19" ht="16.2" thickBot="1">
      <c r="A38" s="225"/>
      <c r="K38" t="s">
        <v>175</v>
      </c>
      <c r="L38">
        <v>903.25547445255484</v>
      </c>
      <c r="M38">
        <v>657.37505687375108</v>
      </c>
      <c r="N38">
        <v>1.374033688999589</v>
      </c>
      <c r="O38">
        <v>0.19455224541050917</v>
      </c>
      <c r="P38">
        <v>-529.04173336719805</v>
      </c>
      <c r="Q38">
        <v>2335.5526822723077</v>
      </c>
      <c r="R38">
        <v>-529.04173336719805</v>
      </c>
      <c r="S38">
        <v>2335.5526822723077</v>
      </c>
    </row>
    <row r="39" spans="1:19">
      <c r="K39" t="s">
        <v>200</v>
      </c>
      <c r="L39">
        <v>69.769343065693434</v>
      </c>
      <c r="M39">
        <v>17.031744256094214</v>
      </c>
      <c r="N39">
        <v>4.096429703066315</v>
      </c>
      <c r="O39">
        <v>1.4817973987759081E-3</v>
      </c>
      <c r="P39">
        <v>32.660360168904234</v>
      </c>
      <c r="Q39">
        <v>106.87832596248263</v>
      </c>
      <c r="R39">
        <v>32.660360168904234</v>
      </c>
      <c r="S39">
        <v>106.87832596248263</v>
      </c>
    </row>
    <row r="40" spans="1:19" ht="15" thickBot="1">
      <c r="K40" s="184" t="s">
        <v>201</v>
      </c>
      <c r="L40" s="184">
        <v>309.1897810218976</v>
      </c>
      <c r="M40" s="184">
        <v>333.72162042817166</v>
      </c>
      <c r="N40" s="184">
        <v>0.92649011060536257</v>
      </c>
      <c r="O40" s="184">
        <v>0.37245001484419493</v>
      </c>
      <c r="P40" s="184">
        <v>-417.9271671043399</v>
      </c>
      <c r="Q40" s="184">
        <v>1036.3067291481352</v>
      </c>
      <c r="R40" s="184">
        <v>-417.9271671043399</v>
      </c>
      <c r="S40" s="184">
        <v>1036.3067291481352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2D70-6386-4BC5-8144-FB6155F718D3}">
  <dimension ref="A1:N63"/>
  <sheetViews>
    <sheetView topLeftCell="A30" zoomScale="85" zoomScaleNormal="85" workbookViewId="0">
      <selection activeCell="D30" sqref="C30:E31"/>
    </sheetView>
  </sheetViews>
  <sheetFormatPr defaultColWidth="8.88671875" defaultRowHeight="14.4"/>
  <cols>
    <col min="1" max="1" width="32.88671875" customWidth="1"/>
    <col min="2" max="2" width="15" customWidth="1"/>
    <col min="3" max="3" width="13.88671875" customWidth="1"/>
    <col min="4" max="4" width="14.109375" customWidth="1"/>
    <col min="5" max="5" width="19.33203125" customWidth="1"/>
    <col min="6" max="6" width="14" customWidth="1"/>
    <col min="9" max="9" width="22.33203125" bestFit="1" customWidth="1"/>
    <col min="10" max="10" width="26" bestFit="1" customWidth="1"/>
    <col min="11" max="11" width="26.33203125" bestFit="1" customWidth="1"/>
    <col min="12" max="12" width="28" bestFit="1" customWidth="1"/>
    <col min="13" max="13" width="26.33203125" bestFit="1" customWidth="1"/>
    <col min="14" max="15" width="23.33203125" bestFit="1" customWidth="1"/>
    <col min="16" max="16" width="11.33203125" bestFit="1" customWidth="1"/>
  </cols>
  <sheetData>
    <row r="1" spans="1:10" ht="21">
      <c r="A1" s="187" t="s">
        <v>189</v>
      </c>
    </row>
    <row r="2" spans="1:10" ht="15.6">
      <c r="A2" s="10" t="s">
        <v>9</v>
      </c>
      <c r="B2" s="10"/>
      <c r="C2" s="10"/>
      <c r="D2" s="10"/>
    </row>
    <row r="3" spans="1:10" ht="15.6">
      <c r="A3" s="11" t="s">
        <v>10</v>
      </c>
      <c r="B3" s="10"/>
      <c r="C3" s="10"/>
      <c r="D3" s="10"/>
    </row>
    <row r="4" spans="1:10" ht="15.6">
      <c r="A4" t="s">
        <v>11</v>
      </c>
      <c r="B4" s="10"/>
      <c r="C4" s="10"/>
      <c r="I4" s="182" t="s">
        <v>144</v>
      </c>
      <c r="J4" t="s">
        <v>212</v>
      </c>
    </row>
    <row r="5" spans="1:10" ht="15" thickBot="1">
      <c r="C5" t="s">
        <v>190</v>
      </c>
      <c r="D5" t="s">
        <v>191</v>
      </c>
      <c r="E5" s="188"/>
      <c r="I5" s="183" t="s">
        <v>123</v>
      </c>
      <c r="J5" s="12">
        <v>5045</v>
      </c>
    </row>
    <row r="6" spans="1:10" ht="28.8">
      <c r="A6" s="120" t="s">
        <v>118</v>
      </c>
      <c r="B6" s="121" t="s">
        <v>119</v>
      </c>
      <c r="C6" s="189" t="s">
        <v>192</v>
      </c>
      <c r="D6" s="8"/>
      <c r="E6" s="12"/>
      <c r="I6" s="183" t="s">
        <v>121</v>
      </c>
      <c r="J6" s="12">
        <v>2.99</v>
      </c>
    </row>
    <row r="7" spans="1:10">
      <c r="A7" s="123" t="s">
        <v>13</v>
      </c>
      <c r="B7" s="68" t="s">
        <v>121</v>
      </c>
      <c r="C7" s="190">
        <v>2.99</v>
      </c>
      <c r="D7" s="17"/>
      <c r="I7" s="183" t="s">
        <v>122</v>
      </c>
      <c r="J7" s="12">
        <v>2.5</v>
      </c>
    </row>
    <row r="8" spans="1:10">
      <c r="A8" s="123" t="s">
        <v>14</v>
      </c>
      <c r="B8" s="68" t="s">
        <v>122</v>
      </c>
      <c r="C8" s="190">
        <v>2.5</v>
      </c>
      <c r="D8" s="17"/>
      <c r="I8" s="183" t="s">
        <v>195</v>
      </c>
      <c r="J8" s="12">
        <v>0.5</v>
      </c>
    </row>
    <row r="9" spans="1:10">
      <c r="A9" s="125" t="s">
        <v>15</v>
      </c>
      <c r="B9" s="68" t="s">
        <v>193</v>
      </c>
      <c r="C9" s="191">
        <v>0.5</v>
      </c>
      <c r="D9" s="17"/>
      <c r="I9" s="183" t="s">
        <v>193</v>
      </c>
      <c r="J9" s="12">
        <v>0.6</v>
      </c>
    </row>
    <row r="10" spans="1:10" ht="27">
      <c r="A10" s="125" t="s">
        <v>124</v>
      </c>
      <c r="B10" s="68" t="s">
        <v>193</v>
      </c>
      <c r="C10" s="191">
        <v>0.1</v>
      </c>
      <c r="D10" s="17"/>
      <c r="F10" s="12"/>
      <c r="I10" s="183" t="s">
        <v>145</v>
      </c>
      <c r="J10" s="12">
        <v>5051.59</v>
      </c>
    </row>
    <row r="11" spans="1:10">
      <c r="A11" s="125" t="s">
        <v>16</v>
      </c>
      <c r="B11" s="68" t="s">
        <v>123</v>
      </c>
      <c r="C11" s="191">
        <v>150</v>
      </c>
    </row>
    <row r="12" spans="1:10">
      <c r="A12" s="125" t="s">
        <v>17</v>
      </c>
      <c r="B12" s="68" t="s">
        <v>123</v>
      </c>
      <c r="C12" s="191">
        <v>300</v>
      </c>
      <c r="F12" s="12"/>
    </row>
    <row r="13" spans="1:10">
      <c r="A13" s="125" t="s">
        <v>18</v>
      </c>
      <c r="B13" s="68" t="s">
        <v>123</v>
      </c>
      <c r="C13" s="191">
        <v>0</v>
      </c>
      <c r="D13" s="12" t="s">
        <v>194</v>
      </c>
    </row>
    <row r="14" spans="1:10">
      <c r="A14" s="125" t="s">
        <v>19</v>
      </c>
      <c r="B14" s="68" t="s">
        <v>195</v>
      </c>
      <c r="C14" s="191">
        <v>0.35</v>
      </c>
      <c r="D14" s="17"/>
    </row>
    <row r="15" spans="1:10">
      <c r="A15" s="125" t="s">
        <v>20</v>
      </c>
      <c r="B15" s="68" t="s">
        <v>195</v>
      </c>
      <c r="C15" s="191">
        <v>0.15</v>
      </c>
      <c r="D15" s="17"/>
    </row>
    <row r="16" spans="1:10">
      <c r="A16" s="125" t="s">
        <v>21</v>
      </c>
      <c r="B16" s="68" t="s">
        <v>123</v>
      </c>
      <c r="C16" s="191">
        <v>2400</v>
      </c>
    </row>
    <row r="17" spans="1:14">
      <c r="A17" s="125" t="s">
        <v>22</v>
      </c>
      <c r="B17" s="68" t="s">
        <v>123</v>
      </c>
      <c r="C17" s="191">
        <v>0</v>
      </c>
      <c r="D17" s="12" t="s">
        <v>196</v>
      </c>
    </row>
    <row r="18" spans="1:14">
      <c r="A18" s="125" t="s">
        <v>23</v>
      </c>
      <c r="B18" s="68" t="s">
        <v>123</v>
      </c>
      <c r="C18" s="191">
        <v>0</v>
      </c>
      <c r="H18" t="s">
        <v>11</v>
      </c>
    </row>
    <row r="19" spans="1:14">
      <c r="A19" s="125" t="s">
        <v>24</v>
      </c>
      <c r="B19" s="68" t="s">
        <v>123</v>
      </c>
      <c r="C19" s="191">
        <v>50</v>
      </c>
    </row>
    <row r="20" spans="1:14">
      <c r="A20" s="125" t="s">
        <v>25</v>
      </c>
      <c r="B20" s="68" t="s">
        <v>123</v>
      </c>
      <c r="C20" s="191">
        <v>25</v>
      </c>
    </row>
    <row r="21" spans="1:14">
      <c r="A21" s="15" t="s">
        <v>26</v>
      </c>
      <c r="B21" s="68" t="s">
        <v>123</v>
      </c>
      <c r="C21" s="191">
        <v>0</v>
      </c>
    </row>
    <row r="22" spans="1:14">
      <c r="A22" s="125" t="s">
        <v>27</v>
      </c>
      <c r="B22" s="68" t="s">
        <v>123</v>
      </c>
      <c r="C22" s="191">
        <v>2120</v>
      </c>
      <c r="D22" s="12" t="s">
        <v>197</v>
      </c>
    </row>
    <row r="23" spans="1:14">
      <c r="A23" s="125" t="s">
        <v>28</v>
      </c>
      <c r="B23" s="68" t="s">
        <v>123</v>
      </c>
      <c r="C23" s="191">
        <v>0</v>
      </c>
    </row>
    <row r="24" spans="1:14">
      <c r="A24" s="126" t="s">
        <v>29</v>
      </c>
      <c r="B24" s="68" t="s">
        <v>123</v>
      </c>
      <c r="C24" s="191">
        <v>0</v>
      </c>
    </row>
    <row r="25" spans="1:14">
      <c r="A25" s="127" t="s">
        <v>11</v>
      </c>
      <c r="C25" s="17"/>
    </row>
    <row r="26" spans="1:14">
      <c r="A26" s="192"/>
      <c r="B26" s="13"/>
      <c r="C26" s="17"/>
    </row>
    <row r="27" spans="1:14">
      <c r="A27" s="193"/>
      <c r="B27" s="194"/>
      <c r="E27" s="2"/>
    </row>
    <row r="28" spans="1:14">
      <c r="F28" s="16"/>
    </row>
    <row r="29" spans="1:14">
      <c r="B29" s="17"/>
      <c r="C29" s="17"/>
    </row>
    <row r="30" spans="1:14" ht="16.2" thickBot="1">
      <c r="A30" s="195" t="s">
        <v>30</v>
      </c>
      <c r="B30" s="17"/>
      <c r="C30" s="17"/>
    </row>
    <row r="31" spans="1:14" ht="21">
      <c r="A31" s="196" t="s">
        <v>198</v>
      </c>
      <c r="B31" s="197"/>
      <c r="D31" s="131"/>
      <c r="E31" s="131"/>
      <c r="M31" s="198"/>
      <c r="N31" s="2"/>
    </row>
    <row r="32" spans="1:14" ht="36">
      <c r="A32" s="112" t="s">
        <v>31</v>
      </c>
      <c r="B32" s="85" t="s">
        <v>199</v>
      </c>
      <c r="M32" s="198"/>
      <c r="N32" s="2"/>
    </row>
    <row r="33" spans="1:14" ht="18">
      <c r="A33" s="113" t="s">
        <v>32</v>
      </c>
      <c r="B33" s="85"/>
      <c r="M33" s="198"/>
      <c r="N33" s="2"/>
    </row>
    <row r="34" spans="1:14" ht="18">
      <c r="A34" s="113" t="s">
        <v>33</v>
      </c>
      <c r="B34" s="85"/>
      <c r="M34" s="198"/>
      <c r="N34" s="2"/>
    </row>
    <row r="35" spans="1:14" ht="21">
      <c r="A35" s="113" t="s">
        <v>34</v>
      </c>
      <c r="B35" s="199">
        <v>0.05</v>
      </c>
      <c r="C35" s="84"/>
      <c r="D35" s="132"/>
      <c r="E35" s="132"/>
      <c r="M35" s="198"/>
      <c r="N35" s="2"/>
    </row>
    <row r="36" spans="1:14" ht="16.8" thickBot="1">
      <c r="A36" s="113" t="s">
        <v>35</v>
      </c>
      <c r="B36" s="200">
        <v>0.26</v>
      </c>
      <c r="M36" s="198"/>
      <c r="N36" s="2"/>
    </row>
    <row r="37" spans="1:14" ht="18" customHeight="1">
      <c r="B37" s="201"/>
      <c r="C37" s="51"/>
      <c r="M37" s="198"/>
      <c r="N37" s="2"/>
    </row>
    <row r="38" spans="1:14" ht="15">
      <c r="A38" s="202"/>
      <c r="B38" s="203"/>
      <c r="M38" s="198"/>
      <c r="N38" s="2"/>
    </row>
    <row r="39" spans="1:14">
      <c r="A39" s="204"/>
      <c r="B39" s="52"/>
      <c r="C39" s="52"/>
      <c r="G39" s="12"/>
      <c r="M39" s="2"/>
      <c r="N39" s="2"/>
    </row>
    <row r="40" spans="1:14">
      <c r="A40" s="205"/>
      <c r="B40" s="206"/>
      <c r="C40" s="207"/>
      <c r="N40" s="2"/>
    </row>
    <row r="41" spans="1:14" ht="21">
      <c r="A41" s="208"/>
      <c r="B41" s="238"/>
      <c r="C41" s="238"/>
      <c r="G41" s="12"/>
      <c r="H41" s="2"/>
      <c r="M41" s="198"/>
    </row>
    <row r="42" spans="1:14" ht="15">
      <c r="A42" s="207"/>
      <c r="B42" s="209"/>
      <c r="C42" s="210"/>
      <c r="H42" s="198"/>
      <c r="M42" s="198"/>
    </row>
    <row r="43" spans="1:14" ht="15">
      <c r="A43" s="211"/>
      <c r="B43" s="209"/>
      <c r="C43" s="210"/>
      <c r="H43" s="198"/>
      <c r="M43" s="198"/>
    </row>
    <row r="44" spans="1:14" ht="15">
      <c r="A44" s="211"/>
      <c r="B44" s="209"/>
      <c r="C44" s="210"/>
      <c r="H44" s="198"/>
      <c r="M44" s="198"/>
    </row>
    <row r="45" spans="1:14" ht="15">
      <c r="A45" s="211"/>
      <c r="B45" s="210"/>
      <c r="C45" s="210"/>
      <c r="H45" s="198"/>
      <c r="M45" s="198"/>
    </row>
    <row r="46" spans="1:14" ht="15">
      <c r="A46" s="211"/>
      <c r="B46" s="210"/>
      <c r="C46" s="210"/>
      <c r="H46" s="198"/>
      <c r="M46" s="198"/>
    </row>
    <row r="47" spans="1:14" ht="15">
      <c r="A47" s="211"/>
      <c r="B47" s="210"/>
      <c r="C47" s="210"/>
      <c r="H47" s="198"/>
      <c r="M47" s="198"/>
    </row>
    <row r="48" spans="1:14" ht="15">
      <c r="A48" s="211"/>
      <c r="B48" s="210"/>
      <c r="C48" s="210"/>
      <c r="H48" s="198"/>
      <c r="M48" s="198"/>
    </row>
    <row r="49" spans="1:13" ht="15">
      <c r="A49" s="212"/>
      <c r="B49" s="17"/>
      <c r="C49" s="17"/>
      <c r="H49" s="198"/>
      <c r="M49" s="2"/>
    </row>
    <row r="50" spans="1:13">
      <c r="A50" s="213"/>
      <c r="B50" s="17"/>
      <c r="C50" s="17"/>
    </row>
    <row r="51" spans="1:13" ht="15">
      <c r="A51" s="18"/>
      <c r="B51" s="17"/>
      <c r="C51" s="17"/>
      <c r="H51" s="198"/>
    </row>
    <row r="52" spans="1:13">
      <c r="A52" s="213"/>
      <c r="B52" s="17"/>
      <c r="C52" s="17"/>
      <c r="H52" s="2"/>
    </row>
    <row r="53" spans="1:13" ht="15">
      <c r="A53" s="213"/>
      <c r="B53" s="17"/>
      <c r="C53" s="17"/>
      <c r="H53" s="198"/>
    </row>
    <row r="54" spans="1:13">
      <c r="A54" s="213"/>
      <c r="B54" s="17"/>
      <c r="C54" s="17"/>
      <c r="H54" s="2"/>
    </row>
    <row r="55" spans="1:13" ht="15">
      <c r="A55" s="213"/>
      <c r="B55" s="17"/>
      <c r="C55" s="17"/>
      <c r="H55" s="198"/>
    </row>
    <row r="56" spans="1:13">
      <c r="H56" s="2"/>
    </row>
    <row r="57" spans="1:13" ht="15">
      <c r="H57" s="198"/>
    </row>
    <row r="58" spans="1:13">
      <c r="H58" s="2"/>
    </row>
    <row r="59" spans="1:13" ht="15">
      <c r="H59" s="198"/>
    </row>
    <row r="60" spans="1:13">
      <c r="H60" s="2"/>
    </row>
    <row r="61" spans="1:13" ht="15">
      <c r="H61" s="198"/>
    </row>
    <row r="62" spans="1:13">
      <c r="A62" s="214" t="s">
        <v>89</v>
      </c>
      <c r="H62" s="2"/>
    </row>
    <row r="63" spans="1:13" ht="15">
      <c r="A63" s="215"/>
      <c r="H63" s="198"/>
    </row>
  </sheetData>
  <mergeCells count="1">
    <mergeCell ref="B41:C41"/>
  </mergeCells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BF12-166F-4CC4-8926-9C87680F07BC}">
  <sheetPr codeName="Sheet7"/>
  <dimension ref="A1:N75"/>
  <sheetViews>
    <sheetView zoomScale="60" zoomScaleNormal="60" workbookViewId="0">
      <selection activeCell="N25" sqref="N25"/>
    </sheetView>
  </sheetViews>
  <sheetFormatPr defaultColWidth="8.88671875" defaultRowHeight="14.4"/>
  <cols>
    <col min="1" max="1" width="25.109375" bestFit="1" customWidth="1"/>
    <col min="2" max="13" width="13.44140625" customWidth="1"/>
    <col min="14" max="14" width="14.44140625" bestFit="1" customWidth="1"/>
  </cols>
  <sheetData>
    <row r="1" spans="1:14">
      <c r="A1" s="29" t="s">
        <v>98</v>
      </c>
      <c r="B1" s="239" t="s">
        <v>113</v>
      </c>
      <c r="C1" s="239"/>
      <c r="D1" s="240"/>
      <c r="E1" s="30" t="s">
        <v>31</v>
      </c>
      <c r="F1" s="30" t="s">
        <v>32</v>
      </c>
      <c r="G1" s="33" t="s">
        <v>33</v>
      </c>
    </row>
    <row r="2" spans="1:14">
      <c r="A2" s="57"/>
      <c r="B2" s="239"/>
      <c r="C2" s="239"/>
      <c r="D2" s="240"/>
      <c r="E2" s="34">
        <f>'Financial information 1 Pt1'!B31*(1+'Financial information 1 Pt1'!B38)</f>
        <v>5280</v>
      </c>
      <c r="F2" s="34">
        <f>'Financial information 1 Pt1'!B32</f>
        <v>3</v>
      </c>
      <c r="G2" s="35">
        <f>'Financial information 1 Pt1'!B33</f>
        <v>1.25</v>
      </c>
    </row>
    <row r="3" spans="1:14" ht="15" thickBot="1">
      <c r="A3" s="29" t="s">
        <v>44</v>
      </c>
    </row>
    <row r="4" spans="1:14">
      <c r="A4" s="63" t="s">
        <v>7</v>
      </c>
      <c r="B4" s="61">
        <v>44927</v>
      </c>
      <c r="C4" s="61">
        <v>44958</v>
      </c>
      <c r="D4" s="61">
        <v>44986</v>
      </c>
      <c r="E4" s="61">
        <v>45017</v>
      </c>
      <c r="F4" s="61">
        <v>45047</v>
      </c>
      <c r="G4" s="61">
        <v>45078</v>
      </c>
      <c r="H4" s="61">
        <v>45108</v>
      </c>
      <c r="I4" s="61">
        <v>45139</v>
      </c>
      <c r="J4" s="61">
        <v>45170</v>
      </c>
      <c r="K4" s="61">
        <v>45200</v>
      </c>
      <c r="L4" s="61">
        <v>45231</v>
      </c>
      <c r="M4" s="61">
        <v>45261</v>
      </c>
      <c r="N4" s="70" t="s">
        <v>96</v>
      </c>
    </row>
    <row r="5" spans="1:14">
      <c r="A5" s="31" t="s">
        <v>38</v>
      </c>
      <c r="B5" s="76">
        <f>'Current operations  Pt3 '!B5*(1+'Financial information 1 Pt1'!$B$39)</f>
        <v>3552.677404512237</v>
      </c>
      <c r="C5" s="76">
        <f>'Current operations  Pt3 '!C5*(1+'Financial information 1 Pt1'!$B$39)</f>
        <v>4090.9116894386884</v>
      </c>
      <c r="D5" s="76">
        <f>'Current operations  Pt3 '!D5*(1+'Financial information 1 Pt1'!$B$39)</f>
        <v>3923.9715087743348</v>
      </c>
      <c r="E5" s="76">
        <f>'Current operations  Pt3 '!E5*(1+'Financial information 1 Pt1'!$B$39)</f>
        <v>5029.3224712083911</v>
      </c>
      <c r="F5" s="76">
        <f>'Current operations  Pt3 '!F5*(1+'Financial information 1 Pt1'!$B$39)</f>
        <v>5428.4191461320179</v>
      </c>
      <c r="G5" s="76">
        <f>'Current operations  Pt3 '!G5*(1+'Financial information 1 Pt1'!$B$39)</f>
        <v>5084.0183285001367</v>
      </c>
      <c r="H5" s="76">
        <f>'Current operations  Pt3 '!H5*(1+'Financial information 1 Pt1'!$B$39)</f>
        <v>3844.7940240689254</v>
      </c>
      <c r="I5" s="76">
        <f>'Current operations  Pt3 '!I5*(1+'Financial information 1 Pt1'!$B$39)</f>
        <v>4663.9783288550234</v>
      </c>
      <c r="J5" s="76">
        <f>'Current operations  Pt3 '!J5*(1+'Financial information 1 Pt1'!$B$39)</f>
        <v>4869.3752712063597</v>
      </c>
      <c r="K5" s="76">
        <f>'Current operations  Pt3 '!K5*(1+'Financial information 1 Pt1'!$B$39)</f>
        <v>5542.3506759335514</v>
      </c>
      <c r="L5" s="76">
        <f>'Current operations  Pt3 '!L5*(1+'Financial information 1 Pt1'!$B$39)</f>
        <v>6229.435997287801</v>
      </c>
      <c r="M5" s="76">
        <f>'Current operations  Pt3 '!M5*(1+'Financial information 1 Pt1'!$B$39)</f>
        <v>7843.1542522862101</v>
      </c>
      <c r="N5" s="71">
        <f>SUM(B5:M5)</f>
        <v>60102.409098203672</v>
      </c>
    </row>
    <row r="6" spans="1:14">
      <c r="A6" s="31" t="s">
        <v>45</v>
      </c>
      <c r="B6" s="76">
        <f>MIN(B5,$E$2)</f>
        <v>3552.677404512237</v>
      </c>
      <c r="C6" s="76">
        <f t="shared" ref="C6:M6" si="0">MIN(C5,$E$2)</f>
        <v>4090.9116894386884</v>
      </c>
      <c r="D6" s="76">
        <f t="shared" si="0"/>
        <v>3923.9715087743348</v>
      </c>
      <c r="E6" s="76">
        <f t="shared" si="0"/>
        <v>5029.3224712083911</v>
      </c>
      <c r="F6" s="76">
        <f t="shared" si="0"/>
        <v>5280</v>
      </c>
      <c r="G6" s="76">
        <f t="shared" si="0"/>
        <v>5084.0183285001367</v>
      </c>
      <c r="H6" s="76">
        <f t="shared" si="0"/>
        <v>3844.7940240689254</v>
      </c>
      <c r="I6" s="76">
        <f t="shared" si="0"/>
        <v>4663.9783288550234</v>
      </c>
      <c r="J6" s="76">
        <f t="shared" si="0"/>
        <v>4869.3752712063597</v>
      </c>
      <c r="K6" s="76">
        <f t="shared" si="0"/>
        <v>5280</v>
      </c>
      <c r="L6" s="76">
        <f t="shared" si="0"/>
        <v>5280</v>
      </c>
      <c r="M6" s="76">
        <f t="shared" si="0"/>
        <v>5280</v>
      </c>
      <c r="N6" s="71">
        <f t="shared" ref="N6:N8" si="1">SUM(B6:M6)</f>
        <v>56179.049026564091</v>
      </c>
    </row>
    <row r="7" spans="1:14">
      <c r="A7" s="31" t="s">
        <v>46</v>
      </c>
      <c r="B7" s="76">
        <f>IF(B5&lt;$E$2,$E$2-B5,0)</f>
        <v>1727.322595487763</v>
      </c>
      <c r="C7" s="76">
        <f t="shared" ref="C7:M7" si="2">IF(C5&lt;$E$2,$E$2-C5,0)</f>
        <v>1189.0883105613116</v>
      </c>
      <c r="D7" s="76">
        <f t="shared" si="2"/>
        <v>1356.0284912256652</v>
      </c>
      <c r="E7" s="76">
        <f t="shared" si="2"/>
        <v>250.67752879160889</v>
      </c>
      <c r="F7" s="76">
        <f t="shared" si="2"/>
        <v>0</v>
      </c>
      <c r="G7" s="76">
        <f t="shared" si="2"/>
        <v>195.9816714998633</v>
      </c>
      <c r="H7" s="76">
        <f t="shared" si="2"/>
        <v>1435.2059759310746</v>
      </c>
      <c r="I7" s="76">
        <f t="shared" si="2"/>
        <v>616.02167114497661</v>
      </c>
      <c r="J7" s="76">
        <f t="shared" si="2"/>
        <v>410.62472879364032</v>
      </c>
      <c r="K7" s="76">
        <f t="shared" si="2"/>
        <v>0</v>
      </c>
      <c r="L7" s="76">
        <f t="shared" si="2"/>
        <v>0</v>
      </c>
      <c r="M7" s="76">
        <f t="shared" si="2"/>
        <v>0</v>
      </c>
      <c r="N7" s="71">
        <f t="shared" si="1"/>
        <v>7180.9509734359044</v>
      </c>
    </row>
    <row r="8" spans="1:14">
      <c r="A8" s="32" t="s">
        <v>47</v>
      </c>
      <c r="B8" s="77">
        <f>IF(B5&gt;$E$2,B5-$E$2,0)</f>
        <v>0</v>
      </c>
      <c r="C8" s="77">
        <f t="shared" ref="C8:M8" si="3">IF(C5&gt;$E$2,C5-$E$2,0)</f>
        <v>0</v>
      </c>
      <c r="D8" s="77">
        <f t="shared" si="3"/>
        <v>0</v>
      </c>
      <c r="E8" s="77">
        <f t="shared" si="3"/>
        <v>0</v>
      </c>
      <c r="F8" s="77">
        <f t="shared" si="3"/>
        <v>148.41914613201789</v>
      </c>
      <c r="G8" s="77">
        <f t="shared" si="3"/>
        <v>0</v>
      </c>
      <c r="H8" s="77">
        <f t="shared" si="3"/>
        <v>0</v>
      </c>
      <c r="I8" s="77">
        <f t="shared" si="3"/>
        <v>0</v>
      </c>
      <c r="J8" s="77">
        <f t="shared" si="3"/>
        <v>0</v>
      </c>
      <c r="K8" s="77">
        <f t="shared" si="3"/>
        <v>262.35067593355143</v>
      </c>
      <c r="L8" s="77">
        <f t="shared" si="3"/>
        <v>949.435997287801</v>
      </c>
      <c r="M8" s="77">
        <f t="shared" si="3"/>
        <v>2563.1542522862101</v>
      </c>
      <c r="N8" s="71">
        <f t="shared" si="1"/>
        <v>3923.3600716395804</v>
      </c>
    </row>
    <row r="9" spans="1:14">
      <c r="A9" s="64" t="s">
        <v>48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1"/>
    </row>
    <row r="10" spans="1:14">
      <c r="A10" s="31" t="s">
        <v>49</v>
      </c>
      <c r="B10" s="76">
        <f>B6*'Financial information 1 Pt1'!$C$7</f>
        <v>10622.50543949159</v>
      </c>
      <c r="C10" s="76">
        <f>C6*'Financial information 1 Pt1'!$C$7</f>
        <v>12231.825951421679</v>
      </c>
      <c r="D10" s="76">
        <f>D6*'Financial information 1 Pt1'!$C$7</f>
        <v>11732.674811235262</v>
      </c>
      <c r="E10" s="76">
        <f>E6*'Financial information 1 Pt1'!$C$7</f>
        <v>15037.67418891309</v>
      </c>
      <c r="F10" s="76">
        <f>F6*'Financial information 1 Pt1'!$C$7</f>
        <v>15787.2</v>
      </c>
      <c r="G10" s="76">
        <f>G6*'Financial information 1 Pt1'!$C$7</f>
        <v>15201.214802215411</v>
      </c>
      <c r="H10" s="76">
        <f>H6*'Financial information 1 Pt1'!$C$7</f>
        <v>11495.934131966087</v>
      </c>
      <c r="I10" s="76">
        <f>I6*'Financial information 1 Pt1'!$C$7</f>
        <v>13945.295203276521</v>
      </c>
      <c r="J10" s="76">
        <f>J6*'Financial information 1 Pt1'!$C$7</f>
        <v>14559.432060907016</v>
      </c>
      <c r="K10" s="76">
        <f>K6*'Financial information 1 Pt1'!$C$7</f>
        <v>15787.2</v>
      </c>
      <c r="L10" s="76">
        <f>L6*'Financial information 1 Pt1'!$C$7</f>
        <v>15787.2</v>
      </c>
      <c r="M10" s="76">
        <f>M6*'Financial information 1 Pt1'!$C$7</f>
        <v>15787.2</v>
      </c>
      <c r="N10" s="71">
        <f>SUM(B10:M10)</f>
        <v>167975.35658942669</v>
      </c>
    </row>
    <row r="11" spans="1:14">
      <c r="A11" s="31" t="s">
        <v>50</v>
      </c>
      <c r="B11" s="76">
        <f>B6*'Financial information 1 Pt1'!$C$8</f>
        <v>8881.6935112805932</v>
      </c>
      <c r="C11" s="76">
        <f>C6*'Financial information 1 Pt1'!$C$8</f>
        <v>10227.279223596721</v>
      </c>
      <c r="D11" s="76">
        <f>D6*'Financial information 1 Pt1'!$C$8</f>
        <v>9809.9287719358363</v>
      </c>
      <c r="E11" s="76">
        <f>E6*'Financial information 1 Pt1'!$C$8</f>
        <v>12573.306178020977</v>
      </c>
      <c r="F11" s="76">
        <f>F6*'Financial information 1 Pt1'!$C$8</f>
        <v>13200</v>
      </c>
      <c r="G11" s="76">
        <f>G6*'Financial information 1 Pt1'!$C$8</f>
        <v>12710.045821250342</v>
      </c>
      <c r="H11" s="76">
        <f>H6*'Financial information 1 Pt1'!$C$8</f>
        <v>9611.9850601723138</v>
      </c>
      <c r="I11" s="76">
        <f>I6*'Financial information 1 Pt1'!$C$8</f>
        <v>11659.945822137559</v>
      </c>
      <c r="J11" s="76">
        <f>J6*'Financial information 1 Pt1'!$C$8</f>
        <v>12173.438178015898</v>
      </c>
      <c r="K11" s="76">
        <f>K6*'Financial information 1 Pt1'!$C$8</f>
        <v>13200</v>
      </c>
      <c r="L11" s="76">
        <f>L6*'Financial information 1 Pt1'!$C$8</f>
        <v>13200</v>
      </c>
      <c r="M11" s="76">
        <f>M6*'Financial information 1 Pt1'!$C$8</f>
        <v>13200</v>
      </c>
      <c r="N11" s="71">
        <f t="shared" ref="N11:N25" si="4">SUM(B11:M11)</f>
        <v>140447.62256641022</v>
      </c>
    </row>
    <row r="12" spans="1:14" ht="15" thickBot="1">
      <c r="A12" s="31" t="s">
        <v>51</v>
      </c>
      <c r="B12" s="79">
        <f>B7*$G$2</f>
        <v>2159.1532443597039</v>
      </c>
      <c r="C12" s="79">
        <f t="shared" ref="C12:M12" si="5">C7*$G$2</f>
        <v>1486.3603882016396</v>
      </c>
      <c r="D12" s="79">
        <f t="shared" si="5"/>
        <v>1695.0356140320814</v>
      </c>
      <c r="E12" s="79">
        <f t="shared" si="5"/>
        <v>313.34691098951112</v>
      </c>
      <c r="F12" s="79">
        <f t="shared" si="5"/>
        <v>0</v>
      </c>
      <c r="G12" s="79">
        <f t="shared" si="5"/>
        <v>244.97708937482912</v>
      </c>
      <c r="H12" s="79">
        <f t="shared" si="5"/>
        <v>1794.0074699138431</v>
      </c>
      <c r="I12" s="79">
        <f t="shared" si="5"/>
        <v>770.02708893122076</v>
      </c>
      <c r="J12" s="79">
        <f t="shared" si="5"/>
        <v>513.28091099205039</v>
      </c>
      <c r="K12" s="79">
        <f t="shared" si="5"/>
        <v>0</v>
      </c>
      <c r="L12" s="79">
        <f t="shared" si="5"/>
        <v>0</v>
      </c>
      <c r="M12" s="79">
        <f t="shared" si="5"/>
        <v>0</v>
      </c>
      <c r="N12" s="71">
        <f t="shared" si="4"/>
        <v>8976.1887167948807</v>
      </c>
    </row>
    <row r="13" spans="1:14" ht="15" thickTop="1">
      <c r="A13" s="65" t="s">
        <v>52</v>
      </c>
      <c r="B13" s="77">
        <f>SUM(B10:B12)</f>
        <v>21663.352195131883</v>
      </c>
      <c r="C13" s="77">
        <f t="shared" ref="C13:M13" si="6">SUM(C10:C12)</f>
        <v>23945.465563220037</v>
      </c>
      <c r="D13" s="77">
        <f t="shared" si="6"/>
        <v>23237.639197203178</v>
      </c>
      <c r="E13" s="77">
        <f t="shared" si="6"/>
        <v>27924.327277923581</v>
      </c>
      <c r="F13" s="77">
        <f t="shared" si="6"/>
        <v>28987.200000000001</v>
      </c>
      <c r="G13" s="77">
        <f t="shared" si="6"/>
        <v>28156.237712840579</v>
      </c>
      <c r="H13" s="77">
        <f t="shared" si="6"/>
        <v>22901.926662052243</v>
      </c>
      <c r="I13" s="77">
        <f t="shared" si="6"/>
        <v>26375.268114345297</v>
      </c>
      <c r="J13" s="77">
        <f t="shared" si="6"/>
        <v>27246.151149914964</v>
      </c>
      <c r="K13" s="77">
        <f t="shared" si="6"/>
        <v>28987.200000000001</v>
      </c>
      <c r="L13" s="77">
        <f t="shared" si="6"/>
        <v>28987.200000000001</v>
      </c>
      <c r="M13" s="77">
        <f t="shared" si="6"/>
        <v>28987.200000000001</v>
      </c>
      <c r="N13" s="71">
        <f t="shared" si="4"/>
        <v>317399.16787263181</v>
      </c>
    </row>
    <row r="14" spans="1:14">
      <c r="A14" s="66" t="s">
        <v>53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1"/>
    </row>
    <row r="15" spans="1:14">
      <c r="A15" s="31" t="s">
        <v>54</v>
      </c>
      <c r="B15" s="76">
        <f>GETPIVOTDATA("Expense/revenue",'Financial information 1 Pt1'!$E$5,"Profit Model label","Fixed Expense")+'Financial information 1 Pt1'!$B$37</f>
        <v>10150</v>
      </c>
      <c r="C15" s="76">
        <f>GETPIVOTDATA("Expense/revenue",'Financial information 1 Pt1'!$E$5,"Profit Model label","Fixed Expense")+'Financial information 1 Pt1'!$B$37</f>
        <v>10150</v>
      </c>
      <c r="D15" s="76">
        <f>GETPIVOTDATA("Expense/revenue",'Financial information 1 Pt1'!$E$5,"Profit Model label","Fixed Expense")+'Financial information 1 Pt1'!$B$37</f>
        <v>10150</v>
      </c>
      <c r="E15" s="76">
        <f>GETPIVOTDATA("Expense/revenue",'Financial information 1 Pt1'!$E$5,"Profit Model label","Fixed Expense")+'Financial information 1 Pt1'!$B$37</f>
        <v>10150</v>
      </c>
      <c r="F15" s="76">
        <f>GETPIVOTDATA("Expense/revenue",'Financial information 1 Pt1'!$E$5,"Profit Model label","Fixed Expense")+'Financial information 1 Pt1'!$B$37</f>
        <v>10150</v>
      </c>
      <c r="G15" s="76">
        <f>GETPIVOTDATA("Expense/revenue",'Financial information 1 Pt1'!$E$5,"Profit Model label","Fixed Expense")+'Financial information 1 Pt1'!$B$37</f>
        <v>10150</v>
      </c>
      <c r="H15" s="76">
        <f>GETPIVOTDATA("Expense/revenue",'Financial information 1 Pt1'!$E$5,"Profit Model label","Fixed Expense")+'Financial information 1 Pt1'!$B$37</f>
        <v>10150</v>
      </c>
      <c r="I15" s="76">
        <f>GETPIVOTDATA("Expense/revenue",'Financial information 1 Pt1'!$E$5,"Profit Model label","Fixed Expense")+'Financial information 1 Pt1'!$B$37</f>
        <v>10150</v>
      </c>
      <c r="J15" s="76">
        <f>GETPIVOTDATA("Expense/revenue",'Financial information 1 Pt1'!$E$5,"Profit Model label","Fixed Expense")+'Financial information 1 Pt1'!$B$37</f>
        <v>10150</v>
      </c>
      <c r="K15" s="76">
        <f>GETPIVOTDATA("Expense/revenue",'Financial information 1 Pt1'!$E$5,"Profit Model label","Fixed Expense")+'Financial information 1 Pt1'!$B$37</f>
        <v>10150</v>
      </c>
      <c r="L15" s="76">
        <f>GETPIVOTDATA("Expense/revenue",'Financial information 1 Pt1'!$E$5,"Profit Model label","Fixed Expense")+'Financial information 1 Pt1'!$B$37</f>
        <v>10150</v>
      </c>
      <c r="M15" s="76">
        <f>GETPIVOTDATA("Expense/revenue",'Financial information 1 Pt1'!$E$5,"Profit Model label","Fixed Expense")+'Financial information 1 Pt1'!$B$37</f>
        <v>10150</v>
      </c>
      <c r="N15" s="71">
        <f t="shared" si="4"/>
        <v>121800</v>
      </c>
    </row>
    <row r="16" spans="1:14">
      <c r="A16" s="59" t="s">
        <v>55</v>
      </c>
      <c r="B16" s="76">
        <f>GETPIVOTDATA("Expense/revenue",'Financial information 1 Pt1'!$E$5,"Profit Model label","Fixed Expense")+'Financial information 1 Pt1'!$B$37</f>
        <v>10150</v>
      </c>
      <c r="C16" s="76">
        <f>GETPIVOTDATA("Expense/revenue",'Financial information 1 Pt1'!$E$5,"Profit Model label","Fixed Expense")+'Financial information 1 Pt1'!$B$37</f>
        <v>10150</v>
      </c>
      <c r="D16" s="76">
        <f>GETPIVOTDATA("Expense/revenue",'Financial information 1 Pt1'!$E$5,"Profit Model label","Fixed Expense")+'Financial information 1 Pt1'!$B$37</f>
        <v>10150</v>
      </c>
      <c r="E16" s="76">
        <f>GETPIVOTDATA("Expense/revenue",'Financial information 1 Pt1'!$E$5,"Profit Model label","Fixed Expense")+'Financial information 1 Pt1'!$B$37</f>
        <v>10150</v>
      </c>
      <c r="F16" s="76">
        <f>GETPIVOTDATA("Expense/revenue",'Financial information 1 Pt1'!$E$5,"Profit Model label","Fixed Expense")+'Financial information 1 Pt1'!$B$37</f>
        <v>10150</v>
      </c>
      <c r="G16" s="76">
        <f>GETPIVOTDATA("Expense/revenue",'Financial information 1 Pt1'!$E$5,"Profit Model label","Fixed Expense")+'Financial information 1 Pt1'!$B$37</f>
        <v>10150</v>
      </c>
      <c r="H16" s="76">
        <f>GETPIVOTDATA("Expense/revenue",'Financial information 1 Pt1'!$E$5,"Profit Model label","Fixed Expense")+'Financial information 1 Pt1'!$B$37</f>
        <v>10150</v>
      </c>
      <c r="I16" s="76">
        <f>GETPIVOTDATA("Expense/revenue",'Financial information 1 Pt1'!$E$5,"Profit Model label","Fixed Expense")+'Financial information 1 Pt1'!$B$37</f>
        <v>10150</v>
      </c>
      <c r="J16" s="76">
        <f>GETPIVOTDATA("Expense/revenue",'Financial information 1 Pt1'!$E$5,"Profit Model label","Fixed Expense")+'Financial information 1 Pt1'!$B$37</f>
        <v>10150</v>
      </c>
      <c r="K16" s="76">
        <f>GETPIVOTDATA("Expense/revenue",'Financial information 1 Pt1'!$E$5,"Profit Model label","Fixed Expense")+'Financial information 1 Pt1'!$B$37</f>
        <v>10150</v>
      </c>
      <c r="L16" s="76">
        <f>GETPIVOTDATA("Expense/revenue",'Financial information 1 Pt1'!$E$5,"Profit Model label","Fixed Expense")+'Financial information 1 Pt1'!$B$37</f>
        <v>10150</v>
      </c>
      <c r="M16" s="76">
        <f>GETPIVOTDATA("Expense/revenue",'Financial information 1 Pt1'!$E$5,"Profit Model label","Fixed Expense")+'Financial information 1 Pt1'!$B$37</f>
        <v>10150</v>
      </c>
      <c r="N16" s="71">
        <f>SUM(B16:M16)</f>
        <v>121800</v>
      </c>
    </row>
    <row r="17" spans="1:14">
      <c r="A17" s="31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1"/>
    </row>
    <row r="18" spans="1:14">
      <c r="A18" s="31" t="s">
        <v>56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1"/>
    </row>
    <row r="19" spans="1:14">
      <c r="A19" s="31" t="s">
        <v>57</v>
      </c>
      <c r="B19" s="76">
        <f>$E$2*GETPIVOTDATA("Expense/revenue",'Financial information 1 Pt1'!$E$5,"Profit Model label","Variable  Expense: Coffee")</f>
        <v>2640</v>
      </c>
      <c r="C19" s="76">
        <f>$E$2*GETPIVOTDATA("Expense/revenue",'Financial information 1 Pt1'!$E$5,"Profit Model label","Variable  Expense: Coffee")</f>
        <v>2640</v>
      </c>
      <c r="D19" s="76">
        <f>$E$2*GETPIVOTDATA("Expense/revenue",'Financial information 1 Pt1'!$E$5,"Profit Model label","Variable  Expense: Coffee")</f>
        <v>2640</v>
      </c>
      <c r="E19" s="76">
        <f>$E$2*GETPIVOTDATA("Expense/revenue",'Financial information 1 Pt1'!$E$5,"Profit Model label","Variable  Expense: Coffee")</f>
        <v>2640</v>
      </c>
      <c r="F19" s="76">
        <f>$E$2*GETPIVOTDATA("Expense/revenue",'Financial information 1 Pt1'!$E$5,"Profit Model label","Variable  Expense: Coffee")</f>
        <v>2640</v>
      </c>
      <c r="G19" s="76">
        <f>$E$2*GETPIVOTDATA("Expense/revenue",'Financial information 1 Pt1'!$E$5,"Profit Model label","Variable  Expense: Coffee")</f>
        <v>2640</v>
      </c>
      <c r="H19" s="76">
        <f>$E$2*GETPIVOTDATA("Expense/revenue",'Financial information 1 Pt1'!$E$5,"Profit Model label","Variable  Expense: Coffee")</f>
        <v>2640</v>
      </c>
      <c r="I19" s="76">
        <f>$E$2*GETPIVOTDATA("Expense/revenue",'Financial information 1 Pt1'!$E$5,"Profit Model label","Variable  Expense: Coffee")</f>
        <v>2640</v>
      </c>
      <c r="J19" s="76">
        <f>$E$2*GETPIVOTDATA("Expense/revenue",'Financial information 1 Pt1'!$E$5,"Profit Model label","Variable  Expense: Coffee")</f>
        <v>2640</v>
      </c>
      <c r="K19" s="76">
        <f>$E$2*GETPIVOTDATA("Expense/revenue",'Financial information 1 Pt1'!$E$5,"Profit Model label","Variable  Expense: Coffee")</f>
        <v>2640</v>
      </c>
      <c r="L19" s="76">
        <f>$E$2*GETPIVOTDATA("Expense/revenue",'Financial information 1 Pt1'!$E$5,"Profit Model label","Variable  Expense: Coffee")</f>
        <v>2640</v>
      </c>
      <c r="M19" s="76">
        <f>$E$2*GETPIVOTDATA("Expense/revenue",'Financial information 1 Pt1'!$E$5,"Profit Model label","Variable  Expense: Coffee")</f>
        <v>2640</v>
      </c>
      <c r="N19" s="71">
        <f t="shared" si="4"/>
        <v>31680</v>
      </c>
    </row>
    <row r="20" spans="1:14">
      <c r="A20" s="31" t="s">
        <v>58</v>
      </c>
      <c r="B20" s="76">
        <f>$E$2*GETPIVOTDATA("Expense/revenue",'Financial information 1 Pt1'!$E$5,"Profit Model label","Variable  Expense: Donut")</f>
        <v>3168</v>
      </c>
      <c r="C20" s="76">
        <f>$E$2*GETPIVOTDATA("Expense/revenue",'Financial information 1 Pt1'!$E$5,"Profit Model label","Variable  Expense: Donut")</f>
        <v>3168</v>
      </c>
      <c r="D20" s="76">
        <f>$E$2*GETPIVOTDATA("Expense/revenue",'Financial information 1 Pt1'!$E$5,"Profit Model label","Variable  Expense: Donut")</f>
        <v>3168</v>
      </c>
      <c r="E20" s="76">
        <f>$E$2*GETPIVOTDATA("Expense/revenue",'Financial information 1 Pt1'!$E$5,"Profit Model label","Variable  Expense: Donut")</f>
        <v>3168</v>
      </c>
      <c r="F20" s="76">
        <f>$E$2*GETPIVOTDATA("Expense/revenue",'Financial information 1 Pt1'!$E$5,"Profit Model label","Variable  Expense: Donut")</f>
        <v>3168</v>
      </c>
      <c r="G20" s="76">
        <f>$E$2*GETPIVOTDATA("Expense/revenue",'Financial information 1 Pt1'!$E$5,"Profit Model label","Variable  Expense: Donut")</f>
        <v>3168</v>
      </c>
      <c r="H20" s="76">
        <f>$E$2*GETPIVOTDATA("Expense/revenue",'Financial information 1 Pt1'!$E$5,"Profit Model label","Variable  Expense: Donut")</f>
        <v>3168</v>
      </c>
      <c r="I20" s="76">
        <f>$E$2*GETPIVOTDATA("Expense/revenue",'Financial information 1 Pt1'!$E$5,"Profit Model label","Variable  Expense: Donut")</f>
        <v>3168</v>
      </c>
      <c r="J20" s="76">
        <f>$E$2*GETPIVOTDATA("Expense/revenue",'Financial information 1 Pt1'!$E$5,"Profit Model label","Variable  Expense: Donut")</f>
        <v>3168</v>
      </c>
      <c r="K20" s="76">
        <f>$E$2*GETPIVOTDATA("Expense/revenue",'Financial information 1 Pt1'!$E$5,"Profit Model label","Variable  Expense: Donut")</f>
        <v>3168</v>
      </c>
      <c r="L20" s="76">
        <f>$E$2*GETPIVOTDATA("Expense/revenue",'Financial information 1 Pt1'!$E$5,"Profit Model label","Variable  Expense: Donut")</f>
        <v>3168</v>
      </c>
      <c r="M20" s="76">
        <f>$E$2*GETPIVOTDATA("Expense/revenue",'Financial information 1 Pt1'!$E$5,"Profit Model label","Variable  Expense: Donut")</f>
        <v>3168</v>
      </c>
      <c r="N20" s="71">
        <f t="shared" si="4"/>
        <v>38016</v>
      </c>
    </row>
    <row r="21" spans="1:14">
      <c r="A21" s="59" t="s">
        <v>59</v>
      </c>
      <c r="B21" s="80">
        <f>SUM(B19:B20)</f>
        <v>5808</v>
      </c>
      <c r="C21" s="80">
        <f t="shared" ref="C21:M21" si="7">SUM(C19:C20)</f>
        <v>5808</v>
      </c>
      <c r="D21" s="80">
        <f t="shared" si="7"/>
        <v>5808</v>
      </c>
      <c r="E21" s="80">
        <f t="shared" si="7"/>
        <v>5808</v>
      </c>
      <c r="F21" s="80">
        <f t="shared" si="7"/>
        <v>5808</v>
      </c>
      <c r="G21" s="80">
        <f t="shared" si="7"/>
        <v>5808</v>
      </c>
      <c r="H21" s="80">
        <f t="shared" si="7"/>
        <v>5808</v>
      </c>
      <c r="I21" s="80">
        <f t="shared" si="7"/>
        <v>5808</v>
      </c>
      <c r="J21" s="80">
        <f t="shared" si="7"/>
        <v>5808</v>
      </c>
      <c r="K21" s="80">
        <f t="shared" si="7"/>
        <v>5808</v>
      </c>
      <c r="L21" s="80">
        <f t="shared" si="7"/>
        <v>5808</v>
      </c>
      <c r="M21" s="80">
        <f t="shared" si="7"/>
        <v>5808</v>
      </c>
      <c r="N21" s="71">
        <f t="shared" si="4"/>
        <v>69696</v>
      </c>
    </row>
    <row r="22" spans="1:14" ht="15" thickBot="1">
      <c r="A22" s="31" t="s">
        <v>60</v>
      </c>
      <c r="B22" s="81">
        <f>B8*$F$2</f>
        <v>0</v>
      </c>
      <c r="C22" s="81">
        <f t="shared" ref="C22:M22" si="8">C8*$F$2</f>
        <v>0</v>
      </c>
      <c r="D22" s="81">
        <f t="shared" si="8"/>
        <v>0</v>
      </c>
      <c r="E22" s="81">
        <f t="shared" si="8"/>
        <v>0</v>
      </c>
      <c r="F22" s="81">
        <f t="shared" si="8"/>
        <v>445.25743839605366</v>
      </c>
      <c r="G22" s="81">
        <f t="shared" si="8"/>
        <v>0</v>
      </c>
      <c r="H22" s="81">
        <f t="shared" si="8"/>
        <v>0</v>
      </c>
      <c r="I22" s="81">
        <f t="shared" si="8"/>
        <v>0</v>
      </c>
      <c r="J22" s="81">
        <f t="shared" si="8"/>
        <v>0</v>
      </c>
      <c r="K22" s="81">
        <f t="shared" si="8"/>
        <v>787.05202780065429</v>
      </c>
      <c r="L22" s="81">
        <f t="shared" si="8"/>
        <v>2848.307991863403</v>
      </c>
      <c r="M22" s="81">
        <f t="shared" si="8"/>
        <v>7689.4627568586302</v>
      </c>
      <c r="N22" s="71">
        <f t="shared" si="4"/>
        <v>11770.08021491874</v>
      </c>
    </row>
    <row r="23" spans="1:14" ht="15" thickTop="1">
      <c r="A23" s="65" t="s">
        <v>61</v>
      </c>
      <c r="B23" s="77">
        <f>B16+B21+B22</f>
        <v>15958</v>
      </c>
      <c r="C23" s="77">
        <f t="shared" ref="C23:M23" si="9">C16+C21+C22</f>
        <v>15958</v>
      </c>
      <c r="D23" s="77">
        <f t="shared" si="9"/>
        <v>15958</v>
      </c>
      <c r="E23" s="77">
        <f t="shared" si="9"/>
        <v>15958</v>
      </c>
      <c r="F23" s="77">
        <f t="shared" si="9"/>
        <v>16403.257438396053</v>
      </c>
      <c r="G23" s="77">
        <f t="shared" si="9"/>
        <v>15958</v>
      </c>
      <c r="H23" s="77">
        <f t="shared" si="9"/>
        <v>15958</v>
      </c>
      <c r="I23" s="77">
        <f t="shared" si="9"/>
        <v>15958</v>
      </c>
      <c r="J23" s="77">
        <f t="shared" si="9"/>
        <v>15958</v>
      </c>
      <c r="K23" s="77">
        <f t="shared" si="9"/>
        <v>16745.052027800655</v>
      </c>
      <c r="L23" s="77">
        <f t="shared" si="9"/>
        <v>18806.307991863403</v>
      </c>
      <c r="M23" s="77">
        <f t="shared" si="9"/>
        <v>23647.462756858629</v>
      </c>
      <c r="N23" s="71">
        <f t="shared" si="4"/>
        <v>203266.08021491871</v>
      </c>
    </row>
    <row r="24" spans="1:14" ht="15" thickBot="1">
      <c r="A24" s="31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71"/>
    </row>
    <row r="25" spans="1:14" ht="15.6" thickTop="1" thickBot="1">
      <c r="A25" s="67" t="s">
        <v>62</v>
      </c>
      <c r="B25" s="83">
        <f>B13-B23</f>
        <v>5705.3521951318835</v>
      </c>
      <c r="C25" s="83">
        <f t="shared" ref="C25:M25" si="10">C13-C23</f>
        <v>7987.4655632200374</v>
      </c>
      <c r="D25" s="83">
        <f t="shared" si="10"/>
        <v>7279.6391972031779</v>
      </c>
      <c r="E25" s="83">
        <f t="shared" si="10"/>
        <v>11966.327277923581</v>
      </c>
      <c r="F25" s="83">
        <f t="shared" si="10"/>
        <v>12583.942561603948</v>
      </c>
      <c r="G25" s="83">
        <f t="shared" si="10"/>
        <v>12198.237712840579</v>
      </c>
      <c r="H25" s="83">
        <f t="shared" si="10"/>
        <v>6943.926662052243</v>
      </c>
      <c r="I25" s="83">
        <f t="shared" si="10"/>
        <v>10417.268114345297</v>
      </c>
      <c r="J25" s="83">
        <f t="shared" si="10"/>
        <v>11288.151149914964</v>
      </c>
      <c r="K25" s="83">
        <f t="shared" si="10"/>
        <v>12242.147972199346</v>
      </c>
      <c r="L25" s="83">
        <f t="shared" si="10"/>
        <v>10180.892008136598</v>
      </c>
      <c r="M25" s="83">
        <f t="shared" si="10"/>
        <v>5339.7372431413714</v>
      </c>
      <c r="N25" s="71">
        <f t="shared" si="4"/>
        <v>114133.08765771303</v>
      </c>
    </row>
    <row r="27" spans="1:14">
      <c r="A27" s="57"/>
      <c r="B27" t="s">
        <v>97</v>
      </c>
    </row>
    <row r="28" spans="1:14" ht="15" thickBot="1">
      <c r="A28" s="29" t="s">
        <v>63</v>
      </c>
    </row>
    <row r="29" spans="1:14">
      <c r="A29" s="63" t="s">
        <v>7</v>
      </c>
      <c r="B29" s="61">
        <f>B4</f>
        <v>44927</v>
      </c>
      <c r="C29" s="61">
        <f t="shared" ref="C29:M29" si="11">C4</f>
        <v>44958</v>
      </c>
      <c r="D29" s="61">
        <f t="shared" si="11"/>
        <v>44986</v>
      </c>
      <c r="E29" s="61">
        <f t="shared" si="11"/>
        <v>45017</v>
      </c>
      <c r="F29" s="61">
        <f t="shared" si="11"/>
        <v>45047</v>
      </c>
      <c r="G29" s="61">
        <f t="shared" si="11"/>
        <v>45078</v>
      </c>
      <c r="H29" s="61">
        <f t="shared" si="11"/>
        <v>45108</v>
      </c>
      <c r="I29" s="61">
        <f t="shared" si="11"/>
        <v>45139</v>
      </c>
      <c r="J29" s="61">
        <f t="shared" si="11"/>
        <v>45170</v>
      </c>
      <c r="K29" s="61">
        <f t="shared" si="11"/>
        <v>45200</v>
      </c>
      <c r="L29" s="61">
        <f t="shared" si="11"/>
        <v>45231</v>
      </c>
      <c r="M29" s="61">
        <f t="shared" si="11"/>
        <v>45261</v>
      </c>
      <c r="N29" s="70" t="s">
        <v>96</v>
      </c>
    </row>
    <row r="30" spans="1:14">
      <c r="A30" s="31" t="s">
        <v>38</v>
      </c>
      <c r="B30" s="76">
        <f>B5*(1+'Financial information 1 Pt1'!$B$34)</f>
        <v>4334.2664335049294</v>
      </c>
      <c r="C30" s="76">
        <f>C5*(1+'Financial information 1 Pt1'!$B$34)</f>
        <v>4990.9122611151997</v>
      </c>
      <c r="D30" s="76">
        <f>D5*(1+'Financial information 1 Pt1'!$B$34)</f>
        <v>4787.2452407046885</v>
      </c>
      <c r="E30" s="76">
        <f>E5*(1+'Financial information 1 Pt1'!$B$34)</f>
        <v>6135.7734148742375</v>
      </c>
      <c r="F30" s="76">
        <f>F5*(1+'Financial information 1 Pt1'!$B$34)</f>
        <v>6622.6713582810617</v>
      </c>
      <c r="G30" s="76">
        <f>G5*(1+'Financial information 1 Pt1'!$B$34)</f>
        <v>6202.5023607701669</v>
      </c>
      <c r="H30" s="76">
        <f>H5*(1+'Financial information 1 Pt1'!$B$34)</f>
        <v>4690.648709364089</v>
      </c>
      <c r="I30" s="76">
        <f>I5*(1+'Financial information 1 Pt1'!$B$34)</f>
        <v>5690.0535612031281</v>
      </c>
      <c r="J30" s="76">
        <f>J5*(1+'Financial information 1 Pt1'!$B$34)</f>
        <v>5940.6378308717585</v>
      </c>
      <c r="K30" s="76">
        <f>K5*(1+'Financial information 1 Pt1'!$B$34)</f>
        <v>6761.6678246389329</v>
      </c>
      <c r="L30" s="76">
        <f>L5*(1+'Financial information 1 Pt1'!$B$34)</f>
        <v>7599.9119166911169</v>
      </c>
      <c r="M30" s="76">
        <f>M5*(1+'Financial information 1 Pt1'!$B$34)</f>
        <v>9568.6481877891765</v>
      </c>
      <c r="N30" s="71">
        <f t="shared" ref="N30" si="12">SUM(B30:M30)</f>
        <v>73324.9390998085</v>
      </c>
    </row>
    <row r="31" spans="1:14">
      <c r="A31" s="31" t="s">
        <v>45</v>
      </c>
      <c r="B31" s="76">
        <f>MIN(B30,$E$2)</f>
        <v>4334.2664335049294</v>
      </c>
      <c r="C31" s="76">
        <f t="shared" ref="C31:M31" si="13">MIN(C30,$E$2)</f>
        <v>4990.9122611151997</v>
      </c>
      <c r="D31" s="76">
        <f t="shared" si="13"/>
        <v>4787.2452407046885</v>
      </c>
      <c r="E31" s="76">
        <f t="shared" si="13"/>
        <v>5280</v>
      </c>
      <c r="F31" s="76">
        <f t="shared" si="13"/>
        <v>5280</v>
      </c>
      <c r="G31" s="76">
        <f t="shared" si="13"/>
        <v>5280</v>
      </c>
      <c r="H31" s="76">
        <f t="shared" si="13"/>
        <v>4690.648709364089</v>
      </c>
      <c r="I31" s="76">
        <f t="shared" si="13"/>
        <v>5280</v>
      </c>
      <c r="J31" s="76">
        <f t="shared" si="13"/>
        <v>5280</v>
      </c>
      <c r="K31" s="76">
        <f t="shared" si="13"/>
        <v>5280</v>
      </c>
      <c r="L31" s="76">
        <f t="shared" si="13"/>
        <v>5280</v>
      </c>
      <c r="M31" s="76">
        <f t="shared" si="13"/>
        <v>5280</v>
      </c>
      <c r="N31" s="71">
        <f t="shared" ref="N31:N50" si="14">SUM(B31:M31)</f>
        <v>61043.072644688902</v>
      </c>
    </row>
    <row r="32" spans="1:14">
      <c r="A32" s="31" t="s">
        <v>46</v>
      </c>
      <c r="B32" s="76">
        <f>IF(B30&lt;$E$2,$E$2-B30,0)</f>
        <v>945.73356649507059</v>
      </c>
      <c r="C32" s="76">
        <f t="shared" ref="C32:M32" si="15">IF(C30&lt;$E$2,$E$2-C30,0)</f>
        <v>289.08773888480027</v>
      </c>
      <c r="D32" s="76">
        <f t="shared" si="15"/>
        <v>492.75475929531149</v>
      </c>
      <c r="E32" s="76">
        <f t="shared" si="15"/>
        <v>0</v>
      </c>
      <c r="F32" s="76">
        <f t="shared" si="15"/>
        <v>0</v>
      </c>
      <c r="G32" s="76">
        <f t="shared" si="15"/>
        <v>0</v>
      </c>
      <c r="H32" s="76">
        <f t="shared" si="15"/>
        <v>589.35129063591103</v>
      </c>
      <c r="I32" s="76">
        <f t="shared" si="15"/>
        <v>0</v>
      </c>
      <c r="J32" s="76">
        <f t="shared" si="15"/>
        <v>0</v>
      </c>
      <c r="K32" s="76">
        <f t="shared" si="15"/>
        <v>0</v>
      </c>
      <c r="L32" s="76">
        <f t="shared" si="15"/>
        <v>0</v>
      </c>
      <c r="M32" s="76">
        <f t="shared" si="15"/>
        <v>0</v>
      </c>
      <c r="N32" s="71">
        <f t="shared" si="14"/>
        <v>2316.9273553110934</v>
      </c>
    </row>
    <row r="33" spans="1:14">
      <c r="A33" s="32" t="s">
        <v>47</v>
      </c>
      <c r="B33" s="77">
        <f>IF(B30&gt;$E$2,B30-$E$2,0)</f>
        <v>0</v>
      </c>
      <c r="C33" s="77">
        <f t="shared" ref="C33:M33" si="16">IF(C30&gt;$E$2,C30-$E$2,0)</f>
        <v>0</v>
      </c>
      <c r="D33" s="77">
        <f t="shared" si="16"/>
        <v>0</v>
      </c>
      <c r="E33" s="77">
        <f t="shared" si="16"/>
        <v>855.77341487423746</v>
      </c>
      <c r="F33" s="77">
        <f t="shared" si="16"/>
        <v>1342.6713582810617</v>
      </c>
      <c r="G33" s="77">
        <f t="shared" si="16"/>
        <v>922.50236077016689</v>
      </c>
      <c r="H33" s="77">
        <f t="shared" si="16"/>
        <v>0</v>
      </c>
      <c r="I33" s="77">
        <f t="shared" si="16"/>
        <v>410.05356120312808</v>
      </c>
      <c r="J33" s="77">
        <f t="shared" si="16"/>
        <v>660.63783087175852</v>
      </c>
      <c r="K33" s="77">
        <f t="shared" si="16"/>
        <v>1481.6678246389329</v>
      </c>
      <c r="L33" s="77">
        <f t="shared" si="16"/>
        <v>2319.9119166911169</v>
      </c>
      <c r="M33" s="77">
        <f t="shared" si="16"/>
        <v>4288.6481877891765</v>
      </c>
      <c r="N33" s="71">
        <f t="shared" si="14"/>
        <v>12281.86645511958</v>
      </c>
    </row>
    <row r="34" spans="1:14">
      <c r="A34" s="64" t="s">
        <v>48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1"/>
    </row>
    <row r="35" spans="1:14">
      <c r="A35" s="31" t="s">
        <v>49</v>
      </c>
      <c r="B35" s="76">
        <f>B31*'Financial information 1 Pt1'!$C$7</f>
        <v>12959.456636179741</v>
      </c>
      <c r="C35" s="76">
        <f>C31*'Financial information 1 Pt1'!$C$7</f>
        <v>14922.827660734449</v>
      </c>
      <c r="D35" s="76">
        <f>D31*'Financial information 1 Pt1'!$C$7</f>
        <v>14313.863269707019</v>
      </c>
      <c r="E35" s="76">
        <f>E31*'Financial information 1 Pt1'!$C$7</f>
        <v>15787.2</v>
      </c>
      <c r="F35" s="76">
        <f>F31*'Financial information 1 Pt1'!$C$7</f>
        <v>15787.2</v>
      </c>
      <c r="G35" s="76">
        <f>G31*'Financial information 1 Pt1'!$C$7</f>
        <v>15787.2</v>
      </c>
      <c r="H35" s="76">
        <f>H31*'Financial information 1 Pt1'!$C$7</f>
        <v>14025.039640998628</v>
      </c>
      <c r="I35" s="76">
        <f>I31*'Financial information 1 Pt1'!$C$7</f>
        <v>15787.2</v>
      </c>
      <c r="J35" s="76">
        <f>J31*'Financial information 1 Pt1'!$C$7</f>
        <v>15787.2</v>
      </c>
      <c r="K35" s="76">
        <f>K31*'Financial information 1 Pt1'!$C$7</f>
        <v>15787.2</v>
      </c>
      <c r="L35" s="76">
        <f>L31*'Financial information 1 Pt1'!$C$7</f>
        <v>15787.2</v>
      </c>
      <c r="M35" s="76">
        <f>M31*'Financial information 1 Pt1'!$C$7</f>
        <v>15787.2</v>
      </c>
      <c r="N35" s="71">
        <f t="shared" si="14"/>
        <v>182518.78720761987</v>
      </c>
    </row>
    <row r="36" spans="1:14">
      <c r="A36" s="31" t="s">
        <v>50</v>
      </c>
      <c r="B36" s="76">
        <f>B31*'Financial information 1 Pt1'!$C$8</f>
        <v>10835.666083762324</v>
      </c>
      <c r="C36" s="76">
        <f>C31*'Financial information 1 Pt1'!$C$8</f>
        <v>12477.280652787998</v>
      </c>
      <c r="D36" s="76">
        <f>D31*'Financial information 1 Pt1'!$C$8</f>
        <v>11968.113101761721</v>
      </c>
      <c r="E36" s="76">
        <f>E31*'Financial information 1 Pt1'!$C$8</f>
        <v>13200</v>
      </c>
      <c r="F36" s="76">
        <f>F31*'Financial information 1 Pt1'!$C$8</f>
        <v>13200</v>
      </c>
      <c r="G36" s="76">
        <f>G31*'Financial information 1 Pt1'!$C$8</f>
        <v>13200</v>
      </c>
      <c r="H36" s="76">
        <f>H31*'Financial information 1 Pt1'!$C$8</f>
        <v>11726.621773410223</v>
      </c>
      <c r="I36" s="76">
        <f>I31*'Financial information 1 Pt1'!$C$8</f>
        <v>13200</v>
      </c>
      <c r="J36" s="76">
        <f>J31*'Financial information 1 Pt1'!$C$8</f>
        <v>13200</v>
      </c>
      <c r="K36" s="76">
        <f>K31*'Financial information 1 Pt1'!$C$8</f>
        <v>13200</v>
      </c>
      <c r="L36" s="76">
        <f>L31*'Financial information 1 Pt1'!$C$8</f>
        <v>13200</v>
      </c>
      <c r="M36" s="76">
        <f>M31*'Financial information 1 Pt1'!$C$8</f>
        <v>13200</v>
      </c>
      <c r="N36" s="71">
        <f t="shared" si="14"/>
        <v>152607.68161172228</v>
      </c>
    </row>
    <row r="37" spans="1:14" ht="15" thickBot="1">
      <c r="A37" s="31" t="s">
        <v>51</v>
      </c>
      <c r="B37" s="79">
        <f>B32*$G$2</f>
        <v>1182.1669581188382</v>
      </c>
      <c r="C37" s="79">
        <f t="shared" ref="C37:M37" si="17">C32*$G$2</f>
        <v>361.35967360600034</v>
      </c>
      <c r="D37" s="79">
        <f t="shared" si="17"/>
        <v>615.94344911913936</v>
      </c>
      <c r="E37" s="79">
        <f t="shared" si="17"/>
        <v>0</v>
      </c>
      <c r="F37" s="79">
        <f t="shared" si="17"/>
        <v>0</v>
      </c>
      <c r="G37" s="79">
        <f t="shared" si="17"/>
        <v>0</v>
      </c>
      <c r="H37" s="79">
        <f t="shared" si="17"/>
        <v>736.68911329488878</v>
      </c>
      <c r="I37" s="79">
        <f t="shared" si="17"/>
        <v>0</v>
      </c>
      <c r="J37" s="79">
        <f t="shared" si="17"/>
        <v>0</v>
      </c>
      <c r="K37" s="79">
        <f t="shared" si="17"/>
        <v>0</v>
      </c>
      <c r="L37" s="79">
        <f t="shared" si="17"/>
        <v>0</v>
      </c>
      <c r="M37" s="79">
        <f t="shared" si="17"/>
        <v>0</v>
      </c>
      <c r="N37" s="71">
        <f t="shared" si="14"/>
        <v>2896.159194138867</v>
      </c>
    </row>
    <row r="38" spans="1:14" ht="15" thickTop="1">
      <c r="A38" s="65" t="s">
        <v>52</v>
      </c>
      <c r="B38" s="77">
        <f>SUM(B35:B37)</f>
        <v>24977.289678060904</v>
      </c>
      <c r="C38" s="77">
        <f t="shared" ref="C38:M38" si="18">SUM(C35:C37)</f>
        <v>27761.467987128446</v>
      </c>
      <c r="D38" s="77">
        <f t="shared" si="18"/>
        <v>26897.919820587878</v>
      </c>
      <c r="E38" s="77">
        <f t="shared" si="18"/>
        <v>28987.200000000001</v>
      </c>
      <c r="F38" s="77">
        <f t="shared" si="18"/>
        <v>28987.200000000001</v>
      </c>
      <c r="G38" s="77">
        <f t="shared" si="18"/>
        <v>28987.200000000001</v>
      </c>
      <c r="H38" s="77">
        <f t="shared" si="18"/>
        <v>26488.35052770374</v>
      </c>
      <c r="I38" s="77">
        <f t="shared" si="18"/>
        <v>28987.200000000001</v>
      </c>
      <c r="J38" s="77">
        <f t="shared" si="18"/>
        <v>28987.200000000001</v>
      </c>
      <c r="K38" s="77">
        <f t="shared" si="18"/>
        <v>28987.200000000001</v>
      </c>
      <c r="L38" s="77">
        <f t="shared" si="18"/>
        <v>28987.200000000001</v>
      </c>
      <c r="M38" s="77">
        <f t="shared" si="18"/>
        <v>28987.200000000001</v>
      </c>
      <c r="N38" s="71">
        <f t="shared" si="14"/>
        <v>338022.62801348104</v>
      </c>
    </row>
    <row r="39" spans="1:14">
      <c r="A39" s="66" t="s">
        <v>53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1"/>
    </row>
    <row r="40" spans="1:14">
      <c r="A40" s="31" t="s">
        <v>54</v>
      </c>
      <c r="B40" s="76">
        <f>GETPIVOTDATA("Expense/revenue",'Financial information 1 Pt1'!$E$5,"Profit Model label","Fixed Expense")+'Financial information 1 Pt1'!$B$37</f>
        <v>10150</v>
      </c>
      <c r="C40" s="76">
        <f>GETPIVOTDATA("Expense/revenue",'Financial information 1 Pt1'!$E$5,"Profit Model label","Fixed Expense")+'Financial information 1 Pt1'!$B$37</f>
        <v>10150</v>
      </c>
      <c r="D40" s="76">
        <f>GETPIVOTDATA("Expense/revenue",'Financial information 1 Pt1'!$E$5,"Profit Model label","Fixed Expense")+'Financial information 1 Pt1'!$B$37</f>
        <v>10150</v>
      </c>
      <c r="E40" s="76">
        <f>GETPIVOTDATA("Expense/revenue",'Financial information 1 Pt1'!$E$5,"Profit Model label","Fixed Expense")+'Financial information 1 Pt1'!$B$37</f>
        <v>10150</v>
      </c>
      <c r="F40" s="76">
        <f>GETPIVOTDATA("Expense/revenue",'Financial information 1 Pt1'!$E$5,"Profit Model label","Fixed Expense")+'Financial information 1 Pt1'!$B$37</f>
        <v>10150</v>
      </c>
      <c r="G40" s="76">
        <f>GETPIVOTDATA("Expense/revenue",'Financial information 1 Pt1'!$E$5,"Profit Model label","Fixed Expense")+'Financial information 1 Pt1'!$B$37</f>
        <v>10150</v>
      </c>
      <c r="H40" s="76">
        <f>GETPIVOTDATA("Expense/revenue",'Financial information 1 Pt1'!$E$5,"Profit Model label","Fixed Expense")+'Financial information 1 Pt1'!$B$37</f>
        <v>10150</v>
      </c>
      <c r="I40" s="76">
        <f>GETPIVOTDATA("Expense/revenue",'Financial information 1 Pt1'!$E$5,"Profit Model label","Fixed Expense")+'Financial information 1 Pt1'!$B$37</f>
        <v>10150</v>
      </c>
      <c r="J40" s="76">
        <f>GETPIVOTDATA("Expense/revenue",'Financial information 1 Pt1'!$E$5,"Profit Model label","Fixed Expense")+'Financial information 1 Pt1'!$B$37</f>
        <v>10150</v>
      </c>
      <c r="K40" s="76">
        <f>GETPIVOTDATA("Expense/revenue",'Financial information 1 Pt1'!$E$5,"Profit Model label","Fixed Expense")+'Financial information 1 Pt1'!$B$37</f>
        <v>10150</v>
      </c>
      <c r="L40" s="76">
        <f>GETPIVOTDATA("Expense/revenue",'Financial information 1 Pt1'!$E$5,"Profit Model label","Fixed Expense")+'Financial information 1 Pt1'!$B$37</f>
        <v>10150</v>
      </c>
      <c r="M40" s="76">
        <f>GETPIVOTDATA("Expense/revenue",'Financial information 1 Pt1'!$E$5,"Profit Model label","Fixed Expense")+'Financial information 1 Pt1'!$B$37</f>
        <v>10150</v>
      </c>
      <c r="N40" s="71">
        <f t="shared" si="14"/>
        <v>121800</v>
      </c>
    </row>
    <row r="41" spans="1:14">
      <c r="A41" s="59" t="s">
        <v>55</v>
      </c>
      <c r="B41" s="76">
        <f>GETPIVOTDATA("Expense/revenue",'Financial information 1 Pt1'!$E$5,"Profit Model label","Fixed Expense")+'Financial information 1 Pt1'!$B$37</f>
        <v>10150</v>
      </c>
      <c r="C41" s="76">
        <f>GETPIVOTDATA("Expense/revenue",'Financial information 1 Pt1'!$E$5,"Profit Model label","Fixed Expense")+'Financial information 1 Pt1'!$B$37</f>
        <v>10150</v>
      </c>
      <c r="D41" s="76">
        <f>GETPIVOTDATA("Expense/revenue",'Financial information 1 Pt1'!$E$5,"Profit Model label","Fixed Expense")+'Financial information 1 Pt1'!$B$37</f>
        <v>10150</v>
      </c>
      <c r="E41" s="76">
        <f>GETPIVOTDATA("Expense/revenue",'Financial information 1 Pt1'!$E$5,"Profit Model label","Fixed Expense")+'Financial information 1 Pt1'!$B$37</f>
        <v>10150</v>
      </c>
      <c r="F41" s="76">
        <f>GETPIVOTDATA("Expense/revenue",'Financial information 1 Pt1'!$E$5,"Profit Model label","Fixed Expense")+'Financial information 1 Pt1'!$B$37</f>
        <v>10150</v>
      </c>
      <c r="G41" s="76">
        <f>GETPIVOTDATA("Expense/revenue",'Financial information 1 Pt1'!$E$5,"Profit Model label","Fixed Expense")+'Financial information 1 Pt1'!$B$37</f>
        <v>10150</v>
      </c>
      <c r="H41" s="76">
        <f>GETPIVOTDATA("Expense/revenue",'Financial information 1 Pt1'!$E$5,"Profit Model label","Fixed Expense")+'Financial information 1 Pt1'!$B$37</f>
        <v>10150</v>
      </c>
      <c r="I41" s="76">
        <f>GETPIVOTDATA("Expense/revenue",'Financial information 1 Pt1'!$E$5,"Profit Model label","Fixed Expense")+'Financial information 1 Pt1'!$B$37</f>
        <v>10150</v>
      </c>
      <c r="J41" s="76">
        <f>GETPIVOTDATA("Expense/revenue",'Financial information 1 Pt1'!$E$5,"Profit Model label","Fixed Expense")+'Financial information 1 Pt1'!$B$37</f>
        <v>10150</v>
      </c>
      <c r="K41" s="76">
        <f>GETPIVOTDATA("Expense/revenue",'Financial information 1 Pt1'!$E$5,"Profit Model label","Fixed Expense")+'Financial information 1 Pt1'!$B$37</f>
        <v>10150</v>
      </c>
      <c r="L41" s="76">
        <f>GETPIVOTDATA("Expense/revenue",'Financial information 1 Pt1'!$E$5,"Profit Model label","Fixed Expense")+'Financial information 1 Pt1'!$B$37</f>
        <v>10150</v>
      </c>
      <c r="M41" s="76">
        <f>GETPIVOTDATA("Expense/revenue",'Financial information 1 Pt1'!$E$5,"Profit Model label","Fixed Expense")+'Financial information 1 Pt1'!$B$37</f>
        <v>10150</v>
      </c>
      <c r="N41" s="71">
        <f t="shared" si="14"/>
        <v>121800</v>
      </c>
    </row>
    <row r="42" spans="1:14">
      <c r="A42" s="31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1"/>
    </row>
    <row r="43" spans="1:14">
      <c r="A43" s="31" t="s">
        <v>56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1"/>
    </row>
    <row r="44" spans="1:14">
      <c r="A44" s="31" t="s">
        <v>57</v>
      </c>
      <c r="B44" s="76">
        <f>$E$2*GETPIVOTDATA("Expense/revenue",'Financial information 1 Pt1'!$E$5,"Profit Model label","Variable  Expense: Coffee")</f>
        <v>2640</v>
      </c>
      <c r="C44" s="76">
        <f>$E$2*GETPIVOTDATA("Expense/revenue",'Financial information 1 Pt1'!$E$5,"Profit Model label","Variable  Expense: Coffee")</f>
        <v>2640</v>
      </c>
      <c r="D44" s="76">
        <f>$E$2*GETPIVOTDATA("Expense/revenue",'Financial information 1 Pt1'!$E$5,"Profit Model label","Variable  Expense: Coffee")</f>
        <v>2640</v>
      </c>
      <c r="E44" s="76">
        <f>$E$2*GETPIVOTDATA("Expense/revenue",'Financial information 1 Pt1'!$E$5,"Profit Model label","Variable  Expense: Coffee")</f>
        <v>2640</v>
      </c>
      <c r="F44" s="76">
        <f>$E$2*GETPIVOTDATA("Expense/revenue",'Financial information 1 Pt1'!$E$5,"Profit Model label","Variable  Expense: Coffee")</f>
        <v>2640</v>
      </c>
      <c r="G44" s="76">
        <f>$E$2*GETPIVOTDATA("Expense/revenue",'Financial information 1 Pt1'!$E$5,"Profit Model label","Variable  Expense: Coffee")</f>
        <v>2640</v>
      </c>
      <c r="H44" s="76">
        <f>$E$2*GETPIVOTDATA("Expense/revenue",'Financial information 1 Pt1'!$E$5,"Profit Model label","Variable  Expense: Coffee")</f>
        <v>2640</v>
      </c>
      <c r="I44" s="76">
        <f>$E$2*GETPIVOTDATA("Expense/revenue",'Financial information 1 Pt1'!$E$5,"Profit Model label","Variable  Expense: Coffee")</f>
        <v>2640</v>
      </c>
      <c r="J44" s="76">
        <f>$E$2*GETPIVOTDATA("Expense/revenue",'Financial information 1 Pt1'!$E$5,"Profit Model label","Variable  Expense: Coffee")</f>
        <v>2640</v>
      </c>
      <c r="K44" s="76">
        <f>$E$2*GETPIVOTDATA("Expense/revenue",'Financial information 1 Pt1'!$E$5,"Profit Model label","Variable  Expense: Coffee")</f>
        <v>2640</v>
      </c>
      <c r="L44" s="76">
        <f>$E$2*GETPIVOTDATA("Expense/revenue",'Financial information 1 Pt1'!$E$5,"Profit Model label","Variable  Expense: Coffee")</f>
        <v>2640</v>
      </c>
      <c r="M44" s="76">
        <f>$E$2*GETPIVOTDATA("Expense/revenue",'Financial information 1 Pt1'!$E$5,"Profit Model label","Variable  Expense: Coffee")</f>
        <v>2640</v>
      </c>
      <c r="N44" s="71">
        <f t="shared" si="14"/>
        <v>31680</v>
      </c>
    </row>
    <row r="45" spans="1:14">
      <c r="A45" s="31" t="s">
        <v>58</v>
      </c>
      <c r="B45" s="76">
        <f>$E$2*GETPIVOTDATA("Expense/revenue",'Financial information 1 Pt1'!$E$5,"Profit Model label","Variable  Expense: Donut")</f>
        <v>3168</v>
      </c>
      <c r="C45" s="76">
        <f>$E$2*GETPIVOTDATA("Expense/revenue",'Financial information 1 Pt1'!$E$5,"Profit Model label","Variable  Expense: Donut")</f>
        <v>3168</v>
      </c>
      <c r="D45" s="76">
        <f>$E$2*GETPIVOTDATA("Expense/revenue",'Financial information 1 Pt1'!$E$5,"Profit Model label","Variable  Expense: Donut")</f>
        <v>3168</v>
      </c>
      <c r="E45" s="76">
        <f>$E$2*GETPIVOTDATA("Expense/revenue",'Financial information 1 Pt1'!$E$5,"Profit Model label","Variable  Expense: Donut")</f>
        <v>3168</v>
      </c>
      <c r="F45" s="76">
        <f>$E$2*GETPIVOTDATA("Expense/revenue",'Financial information 1 Pt1'!$E$5,"Profit Model label","Variable  Expense: Donut")</f>
        <v>3168</v>
      </c>
      <c r="G45" s="76">
        <f>$E$2*GETPIVOTDATA("Expense/revenue",'Financial information 1 Pt1'!$E$5,"Profit Model label","Variable  Expense: Donut")</f>
        <v>3168</v>
      </c>
      <c r="H45" s="76">
        <f>$E$2*GETPIVOTDATA("Expense/revenue",'Financial information 1 Pt1'!$E$5,"Profit Model label","Variable  Expense: Donut")</f>
        <v>3168</v>
      </c>
      <c r="I45" s="76">
        <f>$E$2*GETPIVOTDATA("Expense/revenue",'Financial information 1 Pt1'!$E$5,"Profit Model label","Variable  Expense: Donut")</f>
        <v>3168</v>
      </c>
      <c r="J45" s="76">
        <f>$E$2*GETPIVOTDATA("Expense/revenue",'Financial information 1 Pt1'!$E$5,"Profit Model label","Variable  Expense: Donut")</f>
        <v>3168</v>
      </c>
      <c r="K45" s="76">
        <f>$E$2*GETPIVOTDATA("Expense/revenue",'Financial information 1 Pt1'!$E$5,"Profit Model label","Variable  Expense: Donut")</f>
        <v>3168</v>
      </c>
      <c r="L45" s="76">
        <f>$E$2*GETPIVOTDATA("Expense/revenue",'Financial information 1 Pt1'!$E$5,"Profit Model label","Variable  Expense: Donut")</f>
        <v>3168</v>
      </c>
      <c r="M45" s="76">
        <f>$E$2*GETPIVOTDATA("Expense/revenue",'Financial information 1 Pt1'!$E$5,"Profit Model label","Variable  Expense: Donut")</f>
        <v>3168</v>
      </c>
      <c r="N45" s="71">
        <f t="shared" si="14"/>
        <v>38016</v>
      </c>
    </row>
    <row r="46" spans="1:14">
      <c r="A46" s="59" t="s">
        <v>59</v>
      </c>
      <c r="B46" s="80">
        <f>SUM(B44:B45)</f>
        <v>5808</v>
      </c>
      <c r="C46" s="80">
        <f t="shared" ref="C46:M46" si="19">SUM(C44:C45)</f>
        <v>5808</v>
      </c>
      <c r="D46" s="80">
        <f t="shared" si="19"/>
        <v>5808</v>
      </c>
      <c r="E46" s="80">
        <f t="shared" si="19"/>
        <v>5808</v>
      </c>
      <c r="F46" s="80">
        <f t="shared" si="19"/>
        <v>5808</v>
      </c>
      <c r="G46" s="80">
        <f t="shared" si="19"/>
        <v>5808</v>
      </c>
      <c r="H46" s="80">
        <f t="shared" si="19"/>
        <v>5808</v>
      </c>
      <c r="I46" s="80">
        <f t="shared" si="19"/>
        <v>5808</v>
      </c>
      <c r="J46" s="80">
        <f t="shared" si="19"/>
        <v>5808</v>
      </c>
      <c r="K46" s="80">
        <f t="shared" si="19"/>
        <v>5808</v>
      </c>
      <c r="L46" s="80">
        <f t="shared" si="19"/>
        <v>5808</v>
      </c>
      <c r="M46" s="80">
        <f t="shared" si="19"/>
        <v>5808</v>
      </c>
      <c r="N46" s="71">
        <f t="shared" si="14"/>
        <v>69696</v>
      </c>
    </row>
    <row r="47" spans="1:14" ht="15" thickBot="1">
      <c r="A47" s="31" t="s">
        <v>60</v>
      </c>
      <c r="B47" s="81">
        <f>B33*$F$2</f>
        <v>0</v>
      </c>
      <c r="C47" s="81">
        <f t="shared" ref="C47:M47" si="20">C33*$F$2</f>
        <v>0</v>
      </c>
      <c r="D47" s="81">
        <f t="shared" si="20"/>
        <v>0</v>
      </c>
      <c r="E47" s="81">
        <f t="shared" si="20"/>
        <v>2567.3202446227124</v>
      </c>
      <c r="F47" s="81">
        <f t="shared" si="20"/>
        <v>4028.014074843185</v>
      </c>
      <c r="G47" s="81">
        <f t="shared" si="20"/>
        <v>2767.5070823105007</v>
      </c>
      <c r="H47" s="81">
        <f t="shared" si="20"/>
        <v>0</v>
      </c>
      <c r="I47" s="81">
        <f t="shared" si="20"/>
        <v>1230.1606836093843</v>
      </c>
      <c r="J47" s="81">
        <f t="shared" si="20"/>
        <v>1981.9134926152756</v>
      </c>
      <c r="K47" s="81">
        <f t="shared" si="20"/>
        <v>4445.0034739167986</v>
      </c>
      <c r="L47" s="81">
        <f t="shared" si="20"/>
        <v>6959.7357500733506</v>
      </c>
      <c r="M47" s="81">
        <f t="shared" si="20"/>
        <v>12865.94456336753</v>
      </c>
      <c r="N47" s="71">
        <f t="shared" si="14"/>
        <v>36845.599365358736</v>
      </c>
    </row>
    <row r="48" spans="1:14" ht="15" thickTop="1">
      <c r="A48" s="65" t="s">
        <v>61</v>
      </c>
      <c r="B48" s="77">
        <f>B41+B46+B47</f>
        <v>15958</v>
      </c>
      <c r="C48" s="77">
        <f t="shared" ref="C48:M48" si="21">C41+C46+C47</f>
        <v>15958</v>
      </c>
      <c r="D48" s="77">
        <f t="shared" si="21"/>
        <v>15958</v>
      </c>
      <c r="E48" s="77">
        <f t="shared" si="21"/>
        <v>18525.320244622711</v>
      </c>
      <c r="F48" s="77">
        <f t="shared" si="21"/>
        <v>19986.014074843184</v>
      </c>
      <c r="G48" s="77">
        <f t="shared" si="21"/>
        <v>18725.507082310502</v>
      </c>
      <c r="H48" s="77">
        <f t="shared" si="21"/>
        <v>15958</v>
      </c>
      <c r="I48" s="77">
        <f t="shared" si="21"/>
        <v>17188.160683609385</v>
      </c>
      <c r="J48" s="77">
        <f t="shared" si="21"/>
        <v>17939.913492615276</v>
      </c>
      <c r="K48" s="77">
        <f t="shared" si="21"/>
        <v>20403.003473916797</v>
      </c>
      <c r="L48" s="77">
        <f t="shared" si="21"/>
        <v>22917.735750073349</v>
      </c>
      <c r="M48" s="77">
        <f t="shared" si="21"/>
        <v>28823.944563367528</v>
      </c>
      <c r="N48" s="71">
        <f t="shared" si="14"/>
        <v>228341.59936535871</v>
      </c>
    </row>
    <row r="49" spans="1:14" ht="15" thickBot="1">
      <c r="A49" s="31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71"/>
    </row>
    <row r="50" spans="1:14" ht="15.6" thickTop="1" thickBot="1">
      <c r="A50" s="67" t="s">
        <v>62</v>
      </c>
      <c r="B50" s="83">
        <f>B38-B48</f>
        <v>9019.2896780609044</v>
      </c>
      <c r="C50" s="83">
        <f t="shared" ref="C50:M50" si="22">C38-C48</f>
        <v>11803.467987128446</v>
      </c>
      <c r="D50" s="83">
        <f t="shared" si="22"/>
        <v>10939.919820587878</v>
      </c>
      <c r="E50" s="83">
        <f t="shared" si="22"/>
        <v>10461.879755377289</v>
      </c>
      <c r="F50" s="83">
        <f t="shared" si="22"/>
        <v>9001.1859251568167</v>
      </c>
      <c r="G50" s="83">
        <f t="shared" si="22"/>
        <v>10261.692917689499</v>
      </c>
      <c r="H50" s="83">
        <f t="shared" si="22"/>
        <v>10530.35052770374</v>
      </c>
      <c r="I50" s="83">
        <f t="shared" si="22"/>
        <v>11799.039316390616</v>
      </c>
      <c r="J50" s="83">
        <f t="shared" si="22"/>
        <v>11047.286507384724</v>
      </c>
      <c r="K50" s="83">
        <f t="shared" si="22"/>
        <v>8584.1965260832039</v>
      </c>
      <c r="L50" s="83">
        <f t="shared" si="22"/>
        <v>6069.464249926652</v>
      </c>
      <c r="M50" s="83">
        <f t="shared" si="22"/>
        <v>163.25543663247299</v>
      </c>
      <c r="N50" s="71">
        <f t="shared" si="14"/>
        <v>109681.02864812223</v>
      </c>
    </row>
    <row r="52" spans="1:14">
      <c r="A52" s="57"/>
    </row>
    <row r="53" spans="1:14" ht="15" thickBot="1">
      <c r="A53" s="29" t="s">
        <v>64</v>
      </c>
    </row>
    <row r="54" spans="1:14">
      <c r="A54" s="63" t="s">
        <v>7</v>
      </c>
      <c r="B54" s="61">
        <f>B29</f>
        <v>44927</v>
      </c>
      <c r="C54" s="61">
        <f t="shared" ref="C54:M54" si="23">C29</f>
        <v>44958</v>
      </c>
      <c r="D54" s="61">
        <f t="shared" si="23"/>
        <v>44986</v>
      </c>
      <c r="E54" s="61">
        <f t="shared" si="23"/>
        <v>45017</v>
      </c>
      <c r="F54" s="61">
        <f t="shared" si="23"/>
        <v>45047</v>
      </c>
      <c r="G54" s="61">
        <f t="shared" si="23"/>
        <v>45078</v>
      </c>
      <c r="H54" s="61">
        <f t="shared" si="23"/>
        <v>45108</v>
      </c>
      <c r="I54" s="61">
        <f t="shared" si="23"/>
        <v>45139</v>
      </c>
      <c r="J54" s="61">
        <f t="shared" si="23"/>
        <v>45170</v>
      </c>
      <c r="K54" s="61">
        <f t="shared" si="23"/>
        <v>45200</v>
      </c>
      <c r="L54" s="61">
        <f t="shared" si="23"/>
        <v>45231</v>
      </c>
      <c r="M54" s="61">
        <f t="shared" si="23"/>
        <v>45261</v>
      </c>
      <c r="N54" s="70" t="s">
        <v>96</v>
      </c>
    </row>
    <row r="55" spans="1:14">
      <c r="A55" s="31" t="s">
        <v>38</v>
      </c>
      <c r="B55" s="76">
        <f>B5*(1-'Financial information 1 Pt1'!$B$35)</f>
        <v>2628.9812793390552</v>
      </c>
      <c r="C55" s="76">
        <f>C5*(1-'Financial information 1 Pt1'!$B$35)</f>
        <v>3027.2746501846295</v>
      </c>
      <c r="D55" s="76">
        <f>D5*(1-'Financial information 1 Pt1'!$B$35)</f>
        <v>2903.7389164930078</v>
      </c>
      <c r="E55" s="76">
        <f>E5*(1-'Financial information 1 Pt1'!$B$35)</f>
        <v>3721.6986286942092</v>
      </c>
      <c r="F55" s="76">
        <f>F5*(1-'Financial information 1 Pt1'!$B$35)</f>
        <v>4017.0301681376932</v>
      </c>
      <c r="G55" s="76">
        <f>G5*(1-'Financial information 1 Pt1'!$B$35)</f>
        <v>3762.1735630901012</v>
      </c>
      <c r="H55" s="76">
        <f>H5*(1-'Financial information 1 Pt1'!$B$35)</f>
        <v>2845.1475778110048</v>
      </c>
      <c r="I55" s="76">
        <f>I5*(1-'Financial information 1 Pt1'!$B$35)</f>
        <v>3451.3439633527173</v>
      </c>
      <c r="J55" s="76">
        <f>J5*(1-'Financial information 1 Pt1'!$B$35)</f>
        <v>3603.3377006927062</v>
      </c>
      <c r="K55" s="76">
        <f>K5*(1-'Financial information 1 Pt1'!$B$35)</f>
        <v>4101.3395001908284</v>
      </c>
      <c r="L55" s="76">
        <f>L5*(1-'Financial information 1 Pt1'!$B$35)</f>
        <v>4609.7826379929729</v>
      </c>
      <c r="M55" s="76">
        <f>M5*(1-'Financial information 1 Pt1'!$B$35)</f>
        <v>5803.9341466917958</v>
      </c>
      <c r="N55" s="71">
        <f>SUM(B55:M55)</f>
        <v>44475.782732670719</v>
      </c>
    </row>
    <row r="56" spans="1:14">
      <c r="A56" s="31" t="s">
        <v>45</v>
      </c>
      <c r="B56" s="76">
        <f>MIN(B55,$E$2)</f>
        <v>2628.9812793390552</v>
      </c>
      <c r="C56" s="76">
        <f t="shared" ref="C56:M56" si="24">MIN(C55,$E$2)</f>
        <v>3027.2746501846295</v>
      </c>
      <c r="D56" s="76">
        <f t="shared" si="24"/>
        <v>2903.7389164930078</v>
      </c>
      <c r="E56" s="76">
        <f t="shared" si="24"/>
        <v>3721.6986286942092</v>
      </c>
      <c r="F56" s="76">
        <f t="shared" si="24"/>
        <v>4017.0301681376932</v>
      </c>
      <c r="G56" s="76">
        <f t="shared" si="24"/>
        <v>3762.1735630901012</v>
      </c>
      <c r="H56" s="76">
        <f t="shared" si="24"/>
        <v>2845.1475778110048</v>
      </c>
      <c r="I56" s="76">
        <f t="shared" si="24"/>
        <v>3451.3439633527173</v>
      </c>
      <c r="J56" s="76">
        <f t="shared" si="24"/>
        <v>3603.3377006927062</v>
      </c>
      <c r="K56" s="76">
        <f t="shared" si="24"/>
        <v>4101.3395001908284</v>
      </c>
      <c r="L56" s="76">
        <f t="shared" si="24"/>
        <v>4609.7826379929729</v>
      </c>
      <c r="M56" s="76">
        <f t="shared" si="24"/>
        <v>5280</v>
      </c>
      <c r="N56" s="71">
        <f>SUM(B56:M56)</f>
        <v>43951.848585978922</v>
      </c>
    </row>
    <row r="57" spans="1:14">
      <c r="A57" s="31" t="s">
        <v>46</v>
      </c>
      <c r="B57" s="76">
        <f>IF(B55&lt;$E$2,$E$2-B55,0)</f>
        <v>2651.0187206609448</v>
      </c>
      <c r="C57" s="76">
        <f t="shared" ref="C57:M57" si="25">IF(C55&lt;$E$2,$E$2-C55,0)</f>
        <v>2252.7253498153705</v>
      </c>
      <c r="D57" s="76">
        <f t="shared" si="25"/>
        <v>2376.2610835069922</v>
      </c>
      <c r="E57" s="76">
        <f t="shared" si="25"/>
        <v>1558.3013713057908</v>
      </c>
      <c r="F57" s="76">
        <f t="shared" si="25"/>
        <v>1262.9698318623068</v>
      </c>
      <c r="G57" s="76">
        <f t="shared" si="25"/>
        <v>1517.8264369098988</v>
      </c>
      <c r="H57" s="76">
        <f t="shared" si="25"/>
        <v>2434.8524221889952</v>
      </c>
      <c r="I57" s="76">
        <f t="shared" si="25"/>
        <v>1828.6560366472827</v>
      </c>
      <c r="J57" s="76">
        <f t="shared" si="25"/>
        <v>1676.6622993072938</v>
      </c>
      <c r="K57" s="76">
        <f t="shared" si="25"/>
        <v>1178.6604998091716</v>
      </c>
      <c r="L57" s="76">
        <f t="shared" si="25"/>
        <v>670.21736200702708</v>
      </c>
      <c r="M57" s="76">
        <f t="shared" si="25"/>
        <v>0</v>
      </c>
      <c r="N57" s="71">
        <f>SUM(B57:M57)</f>
        <v>19408.151414021075</v>
      </c>
    </row>
    <row r="58" spans="1:14">
      <c r="A58" s="32" t="s">
        <v>47</v>
      </c>
      <c r="B58" s="77">
        <f>IF(B55&gt;$E$2,B55-$E$2,0)</f>
        <v>0</v>
      </c>
      <c r="C58" s="77">
        <f t="shared" ref="C58:M58" si="26">IF(C55&gt;$E$2,C55-$E$2,0)</f>
        <v>0</v>
      </c>
      <c r="D58" s="77">
        <f t="shared" si="26"/>
        <v>0</v>
      </c>
      <c r="E58" s="77">
        <f t="shared" si="26"/>
        <v>0</v>
      </c>
      <c r="F58" s="77">
        <f t="shared" si="26"/>
        <v>0</v>
      </c>
      <c r="G58" s="77">
        <f t="shared" si="26"/>
        <v>0</v>
      </c>
      <c r="H58" s="77">
        <f t="shared" si="26"/>
        <v>0</v>
      </c>
      <c r="I58" s="77">
        <f t="shared" si="26"/>
        <v>0</v>
      </c>
      <c r="J58" s="77">
        <f t="shared" si="26"/>
        <v>0</v>
      </c>
      <c r="K58" s="77">
        <f t="shared" si="26"/>
        <v>0</v>
      </c>
      <c r="L58" s="77">
        <f t="shared" si="26"/>
        <v>0</v>
      </c>
      <c r="M58" s="77">
        <f t="shared" si="26"/>
        <v>523.93414669179583</v>
      </c>
      <c r="N58" s="71">
        <f>SUM(B58:M58)</f>
        <v>523.93414669179583</v>
      </c>
    </row>
    <row r="59" spans="1:14">
      <c r="A59" s="64" t="s">
        <v>48</v>
      </c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1"/>
    </row>
    <row r="60" spans="1:14">
      <c r="A60" s="31" t="s">
        <v>49</v>
      </c>
      <c r="B60" s="76">
        <f>B56*'Financial information 1 Pt1'!$C$7</f>
        <v>7860.6540252237755</v>
      </c>
      <c r="C60" s="76">
        <f>C56*'Financial information 1 Pt1'!$C$7</f>
        <v>9051.5512040520425</v>
      </c>
      <c r="D60" s="76">
        <f>D56*'Financial information 1 Pt1'!$C$7</f>
        <v>8682.1793603140941</v>
      </c>
      <c r="E60" s="76">
        <f>E56*'Financial information 1 Pt1'!$C$7</f>
        <v>11127.878899795687</v>
      </c>
      <c r="F60" s="76">
        <f>F56*'Financial information 1 Pt1'!$C$7</f>
        <v>12010.920202731704</v>
      </c>
      <c r="G60" s="76">
        <f>G56*'Financial information 1 Pt1'!$C$7</f>
        <v>11248.898953639404</v>
      </c>
      <c r="H60" s="76">
        <f>H56*'Financial information 1 Pt1'!$C$7</f>
        <v>8506.991257654905</v>
      </c>
      <c r="I60" s="76">
        <f>I56*'Financial information 1 Pt1'!$C$7</f>
        <v>10319.518450424626</v>
      </c>
      <c r="J60" s="76">
        <f>J56*'Financial information 1 Pt1'!$C$7</f>
        <v>10773.979725071193</v>
      </c>
      <c r="K60" s="76">
        <f>K56*'Financial information 1 Pt1'!$C$7</f>
        <v>12263.005105570577</v>
      </c>
      <c r="L60" s="76">
        <f>L56*'Financial information 1 Pt1'!$C$7</f>
        <v>13783.25008759899</v>
      </c>
      <c r="M60" s="76">
        <f>M56*'Financial information 1 Pt1'!$C$7</f>
        <v>15787.2</v>
      </c>
      <c r="N60" s="71">
        <f t="shared" ref="N60:N73" si="27">SUM(B60:M60)</f>
        <v>131416.02727207702</v>
      </c>
    </row>
    <row r="61" spans="1:14">
      <c r="A61" s="31" t="s">
        <v>50</v>
      </c>
      <c r="B61" s="76">
        <f>B56*'Financial information 1 Pt1'!$C$8</f>
        <v>6572.4531983476381</v>
      </c>
      <c r="C61" s="76">
        <f>C56*'Financial information 1 Pt1'!$C$8</f>
        <v>7568.1866254615743</v>
      </c>
      <c r="D61" s="76">
        <f>D56*'Financial information 1 Pt1'!$C$8</f>
        <v>7259.3472912325196</v>
      </c>
      <c r="E61" s="76">
        <f>E56*'Financial information 1 Pt1'!$C$8</f>
        <v>9304.2465717355226</v>
      </c>
      <c r="F61" s="76">
        <f>F56*'Financial information 1 Pt1'!$C$8</f>
        <v>10042.575420344234</v>
      </c>
      <c r="G61" s="76">
        <f>G56*'Financial information 1 Pt1'!$C$8</f>
        <v>9405.4339077252534</v>
      </c>
      <c r="H61" s="76">
        <f>H56*'Financial information 1 Pt1'!$C$8</f>
        <v>7112.8689445275122</v>
      </c>
      <c r="I61" s="76">
        <f>I56*'Financial information 1 Pt1'!$C$8</f>
        <v>8628.3599083817935</v>
      </c>
      <c r="J61" s="76">
        <f>J56*'Financial information 1 Pt1'!$C$8</f>
        <v>9008.3442517317653</v>
      </c>
      <c r="K61" s="76">
        <f>K56*'Financial information 1 Pt1'!$C$8</f>
        <v>10253.348750477071</v>
      </c>
      <c r="L61" s="76">
        <f>L56*'Financial information 1 Pt1'!$C$8</f>
        <v>11524.456594982432</v>
      </c>
      <c r="M61" s="76">
        <f>M56*'Financial information 1 Pt1'!$C$8</f>
        <v>13200</v>
      </c>
      <c r="N61" s="71">
        <f t="shared" si="27"/>
        <v>109879.62146494731</v>
      </c>
    </row>
    <row r="62" spans="1:14" ht="15" thickBot="1">
      <c r="A62" s="31" t="s">
        <v>51</v>
      </c>
      <c r="B62" s="79">
        <f>B57*$G$2</f>
        <v>3313.7734008261809</v>
      </c>
      <c r="C62" s="79">
        <f t="shared" ref="C62:M62" si="28">C57*$G$2</f>
        <v>2815.9066872692129</v>
      </c>
      <c r="D62" s="79">
        <f t="shared" si="28"/>
        <v>2970.3263543837402</v>
      </c>
      <c r="E62" s="79">
        <f t="shared" si="28"/>
        <v>1947.8767141322385</v>
      </c>
      <c r="F62" s="79">
        <f t="shared" si="28"/>
        <v>1578.7122898278835</v>
      </c>
      <c r="G62" s="79">
        <f t="shared" si="28"/>
        <v>1897.2830461373735</v>
      </c>
      <c r="H62" s="79">
        <f t="shared" si="28"/>
        <v>3043.5655277362439</v>
      </c>
      <c r="I62" s="79">
        <f t="shared" si="28"/>
        <v>2285.8200458091032</v>
      </c>
      <c r="J62" s="79">
        <f t="shared" si="28"/>
        <v>2095.8278741341173</v>
      </c>
      <c r="K62" s="79">
        <f t="shared" si="28"/>
        <v>1473.3256247614645</v>
      </c>
      <c r="L62" s="79">
        <f t="shared" si="28"/>
        <v>837.77170250878385</v>
      </c>
      <c r="M62" s="79">
        <f t="shared" si="28"/>
        <v>0</v>
      </c>
      <c r="N62" s="71">
        <f t="shared" si="27"/>
        <v>24260.189267526344</v>
      </c>
    </row>
    <row r="63" spans="1:14" ht="15" thickTop="1">
      <c r="A63" s="65" t="s">
        <v>52</v>
      </c>
      <c r="B63" s="77">
        <f>SUM(B60:B62)</f>
        <v>17746.880624397592</v>
      </c>
      <c r="C63" s="77">
        <f t="shared" ref="C63:M63" si="29">SUM(C60:C62)</f>
        <v>19435.644516782828</v>
      </c>
      <c r="D63" s="77">
        <f t="shared" si="29"/>
        <v>18911.853005930352</v>
      </c>
      <c r="E63" s="77">
        <f t="shared" si="29"/>
        <v>22380.002185663448</v>
      </c>
      <c r="F63" s="77">
        <f t="shared" si="29"/>
        <v>23632.207912903821</v>
      </c>
      <c r="G63" s="77">
        <f t="shared" si="29"/>
        <v>22551.615907502033</v>
      </c>
      <c r="H63" s="77">
        <f t="shared" si="29"/>
        <v>18663.425729918661</v>
      </c>
      <c r="I63" s="77">
        <f t="shared" si="29"/>
        <v>21233.698404615519</v>
      </c>
      <c r="J63" s="77">
        <f t="shared" si="29"/>
        <v>21878.151850937076</v>
      </c>
      <c r="K63" s="77">
        <f t="shared" si="29"/>
        <v>23989.679480809114</v>
      </c>
      <c r="L63" s="77">
        <f t="shared" si="29"/>
        <v>26145.478385090206</v>
      </c>
      <c r="M63" s="77">
        <f t="shared" si="29"/>
        <v>28987.200000000001</v>
      </c>
      <c r="N63" s="71">
        <f t="shared" si="27"/>
        <v>265555.83800455066</v>
      </c>
    </row>
    <row r="64" spans="1:14">
      <c r="A64" s="66" t="s">
        <v>53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1"/>
    </row>
    <row r="65" spans="1:14">
      <c r="A65" s="31" t="s">
        <v>54</v>
      </c>
      <c r="B65" s="76">
        <f>GETPIVOTDATA("Expense/revenue",'Financial information 1 Pt1'!$E$5,"Profit Model label","Fixed Expense")+'Financial information 1 Pt1'!$B$37</f>
        <v>10150</v>
      </c>
      <c r="C65" s="76">
        <f>GETPIVOTDATA("Expense/revenue",'Financial information 1 Pt1'!$E$5,"Profit Model label","Fixed Expense")</f>
        <v>5800</v>
      </c>
      <c r="D65" s="76">
        <f>GETPIVOTDATA("Expense/revenue",'Financial information 1 Pt1'!$E$5,"Profit Model label","Fixed Expense")</f>
        <v>5800</v>
      </c>
      <c r="E65" s="76">
        <f>GETPIVOTDATA("Expense/revenue",'Financial information 1 Pt1'!$E$5,"Profit Model label","Fixed Expense")</f>
        <v>5800</v>
      </c>
      <c r="F65" s="76">
        <f>GETPIVOTDATA("Expense/revenue",'Financial information 1 Pt1'!$E$5,"Profit Model label","Fixed Expense")</f>
        <v>5800</v>
      </c>
      <c r="G65" s="76">
        <f>GETPIVOTDATA("Expense/revenue",'Financial information 1 Pt1'!$E$5,"Profit Model label","Fixed Expense")</f>
        <v>5800</v>
      </c>
      <c r="H65" s="76">
        <f>GETPIVOTDATA("Expense/revenue",'Financial information 1 Pt1'!$E$5,"Profit Model label","Fixed Expense")</f>
        <v>5800</v>
      </c>
      <c r="I65" s="76">
        <f>GETPIVOTDATA("Expense/revenue",'Financial information 1 Pt1'!$E$5,"Profit Model label","Fixed Expense")</f>
        <v>5800</v>
      </c>
      <c r="J65" s="76">
        <f>GETPIVOTDATA("Expense/revenue",'Financial information 1 Pt1'!$E$5,"Profit Model label","Fixed Expense")</f>
        <v>5800</v>
      </c>
      <c r="K65" s="76">
        <f>GETPIVOTDATA("Expense/revenue",'Financial information 1 Pt1'!$E$5,"Profit Model label","Fixed Expense")</f>
        <v>5800</v>
      </c>
      <c r="L65" s="76">
        <f>GETPIVOTDATA("Expense/revenue",'Financial information 1 Pt1'!$E$5,"Profit Model label","Fixed Expense")</f>
        <v>5800</v>
      </c>
      <c r="M65" s="76">
        <f>GETPIVOTDATA("Expense/revenue",'Financial information 1 Pt1'!$E$5,"Profit Model label","Fixed Expense")</f>
        <v>5800</v>
      </c>
      <c r="N65" s="71">
        <f t="shared" si="27"/>
        <v>73950</v>
      </c>
    </row>
    <row r="66" spans="1:14">
      <c r="A66" s="59" t="s">
        <v>55</v>
      </c>
      <c r="B66" s="76">
        <f>GETPIVOTDATA("Expense/revenue",'Financial information 1 Pt1'!$E$5,"Profit Model label","Fixed Expense")+'Financial information 1 Pt1'!$B$37</f>
        <v>10150</v>
      </c>
      <c r="C66" s="76">
        <f>GETPIVOTDATA("Expense/revenue",'Financial information 1 Pt1'!$E$5,"Profit Model label","Fixed Expense")</f>
        <v>5800</v>
      </c>
      <c r="D66" s="76">
        <f>GETPIVOTDATA("Expense/revenue",'Financial information 1 Pt1'!$E$5,"Profit Model label","Fixed Expense")</f>
        <v>5800</v>
      </c>
      <c r="E66" s="76">
        <f>GETPIVOTDATA("Expense/revenue",'Financial information 1 Pt1'!$E$5,"Profit Model label","Fixed Expense")</f>
        <v>5800</v>
      </c>
      <c r="F66" s="76">
        <f>GETPIVOTDATA("Expense/revenue",'Financial information 1 Pt1'!$E$5,"Profit Model label","Fixed Expense")</f>
        <v>5800</v>
      </c>
      <c r="G66" s="76">
        <f>GETPIVOTDATA("Expense/revenue",'Financial information 1 Pt1'!$E$5,"Profit Model label","Fixed Expense")</f>
        <v>5800</v>
      </c>
      <c r="H66" s="76">
        <f>GETPIVOTDATA("Expense/revenue",'Financial information 1 Pt1'!$E$5,"Profit Model label","Fixed Expense")</f>
        <v>5800</v>
      </c>
      <c r="I66" s="76">
        <f>GETPIVOTDATA("Expense/revenue",'Financial information 1 Pt1'!$E$5,"Profit Model label","Fixed Expense")</f>
        <v>5800</v>
      </c>
      <c r="J66" s="76">
        <f>GETPIVOTDATA("Expense/revenue",'Financial information 1 Pt1'!$E$5,"Profit Model label","Fixed Expense")</f>
        <v>5800</v>
      </c>
      <c r="K66" s="76">
        <f>GETPIVOTDATA("Expense/revenue",'Financial information 1 Pt1'!$E$5,"Profit Model label","Fixed Expense")</f>
        <v>5800</v>
      </c>
      <c r="L66" s="76">
        <f>GETPIVOTDATA("Expense/revenue",'Financial information 1 Pt1'!$E$5,"Profit Model label","Fixed Expense")</f>
        <v>5800</v>
      </c>
      <c r="M66" s="76">
        <f>GETPIVOTDATA("Expense/revenue",'Financial information 1 Pt1'!$E$5,"Profit Model label","Fixed Expense")</f>
        <v>5800</v>
      </c>
      <c r="N66" s="71">
        <f t="shared" si="27"/>
        <v>73950</v>
      </c>
    </row>
    <row r="67" spans="1:14">
      <c r="A67" s="31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1"/>
    </row>
    <row r="68" spans="1:14">
      <c r="A68" s="31" t="s">
        <v>56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1"/>
    </row>
    <row r="69" spans="1:14">
      <c r="A69" s="31" t="s">
        <v>57</v>
      </c>
      <c r="B69" s="76">
        <f>$E$2*GETPIVOTDATA("Expense/revenue",'Financial information 1 Pt1'!$E$5,"Profit Model label","Variable  Expense: Coffee")</f>
        <v>2640</v>
      </c>
      <c r="C69" s="76">
        <f>$E$2*GETPIVOTDATA("Expense/revenue",'Financial information 1 Pt1'!$E$5,"Profit Model label","Variable  Expense: Coffee")</f>
        <v>2640</v>
      </c>
      <c r="D69" s="76">
        <f>$E$2*GETPIVOTDATA("Expense/revenue",'Financial information 1 Pt1'!$E$5,"Profit Model label","Variable  Expense: Coffee")</f>
        <v>2640</v>
      </c>
      <c r="E69" s="76">
        <f>$E$2*GETPIVOTDATA("Expense/revenue",'Financial information 1 Pt1'!$E$5,"Profit Model label","Variable  Expense: Coffee")</f>
        <v>2640</v>
      </c>
      <c r="F69" s="76">
        <f>$E$2*GETPIVOTDATA("Expense/revenue",'Financial information 1 Pt1'!$E$5,"Profit Model label","Variable  Expense: Coffee")</f>
        <v>2640</v>
      </c>
      <c r="G69" s="76">
        <f>$E$2*GETPIVOTDATA("Expense/revenue",'Financial information 1 Pt1'!$E$5,"Profit Model label","Variable  Expense: Coffee")</f>
        <v>2640</v>
      </c>
      <c r="H69" s="76">
        <f>$E$2*GETPIVOTDATA("Expense/revenue",'Financial information 1 Pt1'!$E$5,"Profit Model label","Variable  Expense: Coffee")</f>
        <v>2640</v>
      </c>
      <c r="I69" s="76">
        <f>$E$2*GETPIVOTDATA("Expense/revenue",'Financial information 1 Pt1'!$E$5,"Profit Model label","Variable  Expense: Coffee")</f>
        <v>2640</v>
      </c>
      <c r="J69" s="76">
        <f>$E$2*GETPIVOTDATA("Expense/revenue",'Financial information 1 Pt1'!$E$5,"Profit Model label","Variable  Expense: Coffee")</f>
        <v>2640</v>
      </c>
      <c r="K69" s="76">
        <f>$E$2*GETPIVOTDATA("Expense/revenue",'Financial information 1 Pt1'!$E$5,"Profit Model label","Variable  Expense: Coffee")</f>
        <v>2640</v>
      </c>
      <c r="L69" s="76">
        <f>$E$2*GETPIVOTDATA("Expense/revenue",'Financial information 1 Pt1'!$E$5,"Profit Model label","Variable  Expense: Coffee")</f>
        <v>2640</v>
      </c>
      <c r="M69" s="76">
        <f>$E$2*GETPIVOTDATA("Expense/revenue",'Financial information 1 Pt1'!$E$5,"Profit Model label","Variable  Expense: Coffee")</f>
        <v>2640</v>
      </c>
      <c r="N69" s="71">
        <f t="shared" si="27"/>
        <v>31680</v>
      </c>
    </row>
    <row r="70" spans="1:14">
      <c r="A70" s="31" t="s">
        <v>58</v>
      </c>
      <c r="B70" s="76">
        <f>$E$2*GETPIVOTDATA("Expense/revenue",'Financial information 1 Pt1'!$E$5,"Profit Model label","Variable  Expense: Donut")</f>
        <v>3168</v>
      </c>
      <c r="C70" s="76">
        <f>$E$2*GETPIVOTDATA("Expense/revenue",'Financial information 1 Pt1'!$E$5,"Profit Model label","Variable  Expense: Donut")</f>
        <v>3168</v>
      </c>
      <c r="D70" s="76">
        <f>$E$2*GETPIVOTDATA("Expense/revenue",'Financial information 1 Pt1'!$E$5,"Profit Model label","Variable  Expense: Donut")</f>
        <v>3168</v>
      </c>
      <c r="E70" s="76">
        <f>$E$2*GETPIVOTDATA("Expense/revenue",'Financial information 1 Pt1'!$E$5,"Profit Model label","Variable  Expense: Donut")</f>
        <v>3168</v>
      </c>
      <c r="F70" s="76">
        <f>$E$2*GETPIVOTDATA("Expense/revenue",'Financial information 1 Pt1'!$E$5,"Profit Model label","Variable  Expense: Donut")</f>
        <v>3168</v>
      </c>
      <c r="G70" s="76">
        <f>$E$2*GETPIVOTDATA("Expense/revenue",'Financial information 1 Pt1'!$E$5,"Profit Model label","Variable  Expense: Donut")</f>
        <v>3168</v>
      </c>
      <c r="H70" s="76">
        <f>$E$2*GETPIVOTDATA("Expense/revenue",'Financial information 1 Pt1'!$E$5,"Profit Model label","Variable  Expense: Donut")</f>
        <v>3168</v>
      </c>
      <c r="I70" s="76">
        <f>$E$2*GETPIVOTDATA("Expense/revenue",'Financial information 1 Pt1'!$E$5,"Profit Model label","Variable  Expense: Donut")</f>
        <v>3168</v>
      </c>
      <c r="J70" s="76">
        <f>$E$2*GETPIVOTDATA("Expense/revenue",'Financial information 1 Pt1'!$E$5,"Profit Model label","Variable  Expense: Donut")</f>
        <v>3168</v>
      </c>
      <c r="K70" s="76">
        <f>$E$2*GETPIVOTDATA("Expense/revenue",'Financial information 1 Pt1'!$E$5,"Profit Model label","Variable  Expense: Donut")</f>
        <v>3168</v>
      </c>
      <c r="L70" s="76">
        <f>$E$2*GETPIVOTDATA("Expense/revenue",'Financial information 1 Pt1'!$E$5,"Profit Model label","Variable  Expense: Donut")</f>
        <v>3168</v>
      </c>
      <c r="M70" s="76">
        <f>$E$2*GETPIVOTDATA("Expense/revenue",'Financial information 1 Pt1'!$E$5,"Profit Model label","Variable  Expense: Donut")</f>
        <v>3168</v>
      </c>
      <c r="N70" s="71">
        <f t="shared" si="27"/>
        <v>38016</v>
      </c>
    </row>
    <row r="71" spans="1:14">
      <c r="A71" s="59" t="s">
        <v>59</v>
      </c>
      <c r="B71" s="80">
        <f>SUM(B69:B70)</f>
        <v>5808</v>
      </c>
      <c r="C71" s="80">
        <f t="shared" ref="C71:M71" si="30">SUM(C69:C70)</f>
        <v>5808</v>
      </c>
      <c r="D71" s="80">
        <f t="shared" si="30"/>
        <v>5808</v>
      </c>
      <c r="E71" s="80">
        <f t="shared" si="30"/>
        <v>5808</v>
      </c>
      <c r="F71" s="80">
        <f t="shared" si="30"/>
        <v>5808</v>
      </c>
      <c r="G71" s="80">
        <f t="shared" si="30"/>
        <v>5808</v>
      </c>
      <c r="H71" s="80">
        <f t="shared" si="30"/>
        <v>5808</v>
      </c>
      <c r="I71" s="80">
        <f t="shared" si="30"/>
        <v>5808</v>
      </c>
      <c r="J71" s="80">
        <f t="shared" si="30"/>
        <v>5808</v>
      </c>
      <c r="K71" s="80">
        <f t="shared" si="30"/>
        <v>5808</v>
      </c>
      <c r="L71" s="80">
        <f t="shared" si="30"/>
        <v>5808</v>
      </c>
      <c r="M71" s="80">
        <f t="shared" si="30"/>
        <v>5808</v>
      </c>
      <c r="N71" s="71">
        <f t="shared" si="27"/>
        <v>69696</v>
      </c>
    </row>
    <row r="72" spans="1:14" ht="15" thickBot="1">
      <c r="A72" s="31" t="s">
        <v>60</v>
      </c>
      <c r="B72" s="81">
        <f>B58*$F$2</f>
        <v>0</v>
      </c>
      <c r="C72" s="81">
        <f t="shared" ref="C72:M72" si="31">C58*$F$2</f>
        <v>0</v>
      </c>
      <c r="D72" s="81">
        <f t="shared" si="31"/>
        <v>0</v>
      </c>
      <c r="E72" s="81">
        <f t="shared" si="31"/>
        <v>0</v>
      </c>
      <c r="F72" s="81">
        <f t="shared" si="31"/>
        <v>0</v>
      </c>
      <c r="G72" s="81">
        <f t="shared" si="31"/>
        <v>0</v>
      </c>
      <c r="H72" s="81">
        <f t="shared" si="31"/>
        <v>0</v>
      </c>
      <c r="I72" s="81">
        <f t="shared" si="31"/>
        <v>0</v>
      </c>
      <c r="J72" s="81">
        <f t="shared" si="31"/>
        <v>0</v>
      </c>
      <c r="K72" s="81">
        <f t="shared" si="31"/>
        <v>0</v>
      </c>
      <c r="L72" s="81">
        <f t="shared" si="31"/>
        <v>0</v>
      </c>
      <c r="M72" s="81">
        <f t="shared" si="31"/>
        <v>1571.8024400753875</v>
      </c>
      <c r="N72" s="71">
        <f t="shared" si="27"/>
        <v>1571.8024400753875</v>
      </c>
    </row>
    <row r="73" spans="1:14" ht="15" thickTop="1">
      <c r="A73" s="65" t="s">
        <v>61</v>
      </c>
      <c r="B73" s="77">
        <f>B66+B71+B72</f>
        <v>15958</v>
      </c>
      <c r="C73" s="77">
        <f t="shared" ref="C73:M73" si="32">C66+C71+C72</f>
        <v>11608</v>
      </c>
      <c r="D73" s="77">
        <f t="shared" si="32"/>
        <v>11608</v>
      </c>
      <c r="E73" s="77">
        <f t="shared" si="32"/>
        <v>11608</v>
      </c>
      <c r="F73" s="77">
        <f t="shared" si="32"/>
        <v>11608</v>
      </c>
      <c r="G73" s="77">
        <f t="shared" si="32"/>
        <v>11608</v>
      </c>
      <c r="H73" s="77">
        <f t="shared" si="32"/>
        <v>11608</v>
      </c>
      <c r="I73" s="77">
        <f t="shared" si="32"/>
        <v>11608</v>
      </c>
      <c r="J73" s="77">
        <f t="shared" si="32"/>
        <v>11608</v>
      </c>
      <c r="K73" s="77">
        <f t="shared" si="32"/>
        <v>11608</v>
      </c>
      <c r="L73" s="77">
        <f t="shared" si="32"/>
        <v>11608</v>
      </c>
      <c r="M73" s="77">
        <f t="shared" si="32"/>
        <v>13179.802440075387</v>
      </c>
      <c r="N73" s="71">
        <f t="shared" si="27"/>
        <v>145217.80244007538</v>
      </c>
    </row>
    <row r="74" spans="1:14" ht="15" thickBot="1">
      <c r="A74" s="31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71"/>
    </row>
    <row r="75" spans="1:14" ht="15.6" thickTop="1" thickBot="1">
      <c r="A75" s="67" t="s">
        <v>62</v>
      </c>
      <c r="B75" s="83">
        <f>B63-B73</f>
        <v>1788.8806243975923</v>
      </c>
      <c r="C75" s="83">
        <f t="shared" ref="C75:K75" si="33">C63-C73</f>
        <v>7827.6445167828278</v>
      </c>
      <c r="D75" s="83">
        <f t="shared" si="33"/>
        <v>7303.8530059303521</v>
      </c>
      <c r="E75" s="83">
        <f t="shared" si="33"/>
        <v>10772.002185663448</v>
      </c>
      <c r="F75" s="83">
        <f t="shared" si="33"/>
        <v>12024.207912903821</v>
      </c>
      <c r="G75" s="83">
        <f t="shared" si="33"/>
        <v>10943.615907502033</v>
      </c>
      <c r="H75" s="83">
        <f t="shared" si="33"/>
        <v>7055.4257299186611</v>
      </c>
      <c r="I75" s="83">
        <f t="shared" si="33"/>
        <v>9625.6984046155194</v>
      </c>
      <c r="J75" s="83">
        <f t="shared" si="33"/>
        <v>10270.151850937076</v>
      </c>
      <c r="K75" s="83">
        <f t="shared" si="33"/>
        <v>12381.679480809114</v>
      </c>
      <c r="L75" s="83">
        <f>L63-L73</f>
        <v>14537.478385090206</v>
      </c>
      <c r="M75" s="83">
        <f>M63-M73</f>
        <v>15807.397559924613</v>
      </c>
      <c r="N75" s="71">
        <v>72488.039999999994</v>
      </c>
    </row>
  </sheetData>
  <mergeCells count="1">
    <mergeCell ref="B1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5334-9214-44BF-9E53-91B8F829E777}">
  <sheetPr codeName="Sheet6"/>
  <dimension ref="A1:Z201"/>
  <sheetViews>
    <sheetView topLeftCell="A20" zoomScale="69" zoomScaleNormal="69" workbookViewId="0">
      <selection activeCell="B30" sqref="B30"/>
    </sheetView>
  </sheetViews>
  <sheetFormatPr defaultColWidth="8.88671875" defaultRowHeight="14.4"/>
  <cols>
    <col min="1" max="1" width="27.5546875" bestFit="1" customWidth="1"/>
    <col min="2" max="13" width="13.44140625" customWidth="1"/>
    <col min="14" max="14" width="14.44140625" bestFit="1" customWidth="1"/>
  </cols>
  <sheetData>
    <row r="1" spans="1:26">
      <c r="A1" s="29" t="s">
        <v>43</v>
      </c>
      <c r="B1" s="239" t="s">
        <v>113</v>
      </c>
      <c r="C1" s="239"/>
      <c r="D1" s="240"/>
      <c r="E1" s="30" t="s">
        <v>31</v>
      </c>
      <c r="F1" s="30" t="s">
        <v>32</v>
      </c>
      <c r="G1" s="30" t="s">
        <v>33</v>
      </c>
      <c r="Z1" t="s">
        <v>143</v>
      </c>
    </row>
    <row r="2" spans="1:26">
      <c r="A2" s="57"/>
      <c r="B2" s="239"/>
      <c r="C2" s="239"/>
      <c r="D2" s="240"/>
      <c r="E2" s="30">
        <f>'Financial information 1 Pt1'!B31</f>
        <v>4000</v>
      </c>
      <c r="F2" s="30">
        <f>'Financial information 1 Pt1'!B32</f>
        <v>3</v>
      </c>
      <c r="G2" s="30">
        <f>'Financial information 1 Pt1'!B33</f>
        <v>1.25</v>
      </c>
      <c r="Z2" t="s">
        <v>11</v>
      </c>
    </row>
    <row r="3" spans="1:26" ht="15" thickBot="1">
      <c r="A3" s="29" t="s">
        <v>44</v>
      </c>
    </row>
    <row r="4" spans="1:26">
      <c r="A4" s="63" t="s">
        <v>7</v>
      </c>
      <c r="B4" s="61">
        <v>44927</v>
      </c>
      <c r="C4" s="61">
        <v>44958</v>
      </c>
      <c r="D4" s="61">
        <v>44986</v>
      </c>
      <c r="E4" s="61">
        <v>45017</v>
      </c>
      <c r="F4" s="61">
        <v>45047</v>
      </c>
      <c r="G4" s="61">
        <v>45078</v>
      </c>
      <c r="H4" s="61">
        <v>45108</v>
      </c>
      <c r="I4" s="61">
        <v>45139</v>
      </c>
      <c r="J4" s="61">
        <v>45170</v>
      </c>
      <c r="K4" s="61">
        <v>45200</v>
      </c>
      <c r="L4" s="61">
        <v>45231</v>
      </c>
      <c r="M4" s="61">
        <v>45261</v>
      </c>
      <c r="N4" s="70" t="s">
        <v>96</v>
      </c>
    </row>
    <row r="5" spans="1:26">
      <c r="A5" s="31" t="s">
        <v>38</v>
      </c>
      <c r="B5" s="76">
        <f>'SI and regression Pt 2'!I38</f>
        <v>2912.0306594362601</v>
      </c>
      <c r="C5" s="76">
        <f>'SI and regression Pt 2'!I39</f>
        <v>3353.2063028185971</v>
      </c>
      <c r="D5" s="76">
        <f>'SI and regression Pt 2'!I40</f>
        <v>3216.3700891592907</v>
      </c>
      <c r="E5" s="76">
        <f>'SI and regression Pt 2'!I41</f>
        <v>4122.3954682035992</v>
      </c>
      <c r="F5" s="76">
        <f>'SI and regression Pt 2'!I42</f>
        <v>4449.5238902721458</v>
      </c>
      <c r="G5" s="76">
        <f>'SI and regression Pt 2'!I43</f>
        <v>4167.2281381148659</v>
      </c>
      <c r="H5" s="76">
        <f>'SI and regression Pt 2'!I44</f>
        <v>3151.4705115319061</v>
      </c>
      <c r="I5" s="76">
        <f>'SI and regression Pt 2'!I45</f>
        <v>3822.9330564385436</v>
      </c>
      <c r="J5" s="76">
        <f>'SI and regression Pt 2'!I46</f>
        <v>3991.2912059068522</v>
      </c>
      <c r="K5" s="76">
        <f>'SI and regression Pt 2'!I47</f>
        <v>4542.9103901094686</v>
      </c>
      <c r="L5" s="76">
        <f>'SI and regression Pt 2'!I48</f>
        <v>5106.0950797440992</v>
      </c>
      <c r="M5" s="76">
        <f>'SI and regression Pt 2'!I49</f>
        <v>6428.8149608903359</v>
      </c>
      <c r="N5" s="71">
        <f>SUM(B5:M5)</f>
        <v>49264.269752625965</v>
      </c>
    </row>
    <row r="6" spans="1:26">
      <c r="A6" s="31" t="s">
        <v>45</v>
      </c>
      <c r="B6" s="76">
        <f>MIN(B5,$E$2)</f>
        <v>2912.0306594362601</v>
      </c>
      <c r="C6" s="76">
        <f t="shared" ref="C6:M6" si="0">MIN(C5,$E$2)</f>
        <v>3353.2063028185971</v>
      </c>
      <c r="D6" s="76">
        <f t="shared" si="0"/>
        <v>3216.3700891592907</v>
      </c>
      <c r="E6" s="76">
        <f t="shared" si="0"/>
        <v>4000</v>
      </c>
      <c r="F6" s="76">
        <f t="shared" si="0"/>
        <v>4000</v>
      </c>
      <c r="G6" s="76">
        <f t="shared" si="0"/>
        <v>4000</v>
      </c>
      <c r="H6" s="76">
        <f t="shared" si="0"/>
        <v>3151.4705115319061</v>
      </c>
      <c r="I6" s="76">
        <f t="shared" si="0"/>
        <v>3822.9330564385436</v>
      </c>
      <c r="J6" s="76">
        <f t="shared" si="0"/>
        <v>3991.2912059068522</v>
      </c>
      <c r="K6" s="76">
        <f t="shared" si="0"/>
        <v>4000</v>
      </c>
      <c r="L6" s="76">
        <f t="shared" si="0"/>
        <v>4000</v>
      </c>
      <c r="M6" s="76">
        <f t="shared" si="0"/>
        <v>4000</v>
      </c>
      <c r="N6" s="76">
        <f>SUM(B6:M6)</f>
        <v>44447.301825291448</v>
      </c>
    </row>
    <row r="7" spans="1:26">
      <c r="A7" s="31" t="s">
        <v>46</v>
      </c>
      <c r="B7" s="76">
        <f>IF(B5&lt;$E$2,$E$2-B5,0)</f>
        <v>1087.9693405637399</v>
      </c>
      <c r="C7" s="76">
        <f t="shared" ref="C7:M7" si="1">IF(C5&lt;$E$2,$E$2-C5,0)</f>
        <v>646.79369718140288</v>
      </c>
      <c r="D7" s="76">
        <f t="shared" si="1"/>
        <v>783.62991084070927</v>
      </c>
      <c r="E7" s="76">
        <f t="shared" si="1"/>
        <v>0</v>
      </c>
      <c r="F7" s="76">
        <f t="shared" si="1"/>
        <v>0</v>
      </c>
      <c r="G7" s="76">
        <f t="shared" si="1"/>
        <v>0</v>
      </c>
      <c r="H7" s="76">
        <f t="shared" si="1"/>
        <v>848.52948846809386</v>
      </c>
      <c r="I7" s="76">
        <f t="shared" si="1"/>
        <v>177.06694356145636</v>
      </c>
      <c r="J7" s="76">
        <f t="shared" si="1"/>
        <v>8.7087940931478443</v>
      </c>
      <c r="K7" s="76">
        <f t="shared" si="1"/>
        <v>0</v>
      </c>
      <c r="L7" s="76">
        <f t="shared" si="1"/>
        <v>0</v>
      </c>
      <c r="M7" s="76">
        <f t="shared" si="1"/>
        <v>0</v>
      </c>
      <c r="N7" s="76">
        <f>SUM(B7:M7)</f>
        <v>3552.6981747085501</v>
      </c>
    </row>
    <row r="8" spans="1:26">
      <c r="A8" s="32" t="s">
        <v>47</v>
      </c>
      <c r="B8" s="77">
        <f>IF(B5&gt;$E$2,B5-$E$2,0)</f>
        <v>0</v>
      </c>
      <c r="C8" s="77">
        <f t="shared" ref="C8:M8" si="2">IF(C5&gt;$E$2,C5-$E$2,0)</f>
        <v>0</v>
      </c>
      <c r="D8" s="77">
        <f t="shared" si="2"/>
        <v>0</v>
      </c>
      <c r="E8" s="77">
        <f t="shared" si="2"/>
        <v>122.39546820359919</v>
      </c>
      <c r="F8" s="77">
        <f t="shared" si="2"/>
        <v>449.52389027214576</v>
      </c>
      <c r="G8" s="77">
        <f t="shared" si="2"/>
        <v>167.22813811486594</v>
      </c>
      <c r="H8" s="77">
        <f t="shared" si="2"/>
        <v>0</v>
      </c>
      <c r="I8" s="77">
        <f t="shared" si="2"/>
        <v>0</v>
      </c>
      <c r="J8" s="77">
        <f t="shared" si="2"/>
        <v>0</v>
      </c>
      <c r="K8" s="77">
        <f t="shared" si="2"/>
        <v>542.91039010946861</v>
      </c>
      <c r="L8" s="77">
        <f t="shared" si="2"/>
        <v>1106.0950797440992</v>
      </c>
      <c r="M8" s="77">
        <f t="shared" si="2"/>
        <v>2428.8149608903359</v>
      </c>
      <c r="N8" s="73">
        <f>SUM(B8:M8)</f>
        <v>4816.9679273345146</v>
      </c>
    </row>
    <row r="9" spans="1:26">
      <c r="A9" s="64" t="s">
        <v>48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1"/>
    </row>
    <row r="10" spans="1:26">
      <c r="A10" s="31" t="s">
        <v>49</v>
      </c>
      <c r="B10" s="76">
        <f>B6*'Financial information 1 Pt1'!$C$7</f>
        <v>8706.9716717144183</v>
      </c>
      <c r="C10" s="76">
        <f>C6*'Financial information 1 Pt1'!$C$7</f>
        <v>10026.086845427606</v>
      </c>
      <c r="D10" s="76">
        <f>D6*'Financial information 1 Pt1'!$C$7</f>
        <v>9616.9465665862808</v>
      </c>
      <c r="E10" s="76">
        <f>E6*'Financial information 1 Pt1'!$C$7</f>
        <v>11960</v>
      </c>
      <c r="F10" s="76">
        <f>F6*'Financial information 1 Pt1'!$C$7</f>
        <v>11960</v>
      </c>
      <c r="G10" s="76">
        <f>G6*'Financial information 1 Pt1'!$C$7</f>
        <v>11960</v>
      </c>
      <c r="H10" s="76">
        <f>H6*'Financial information 1 Pt1'!$C$7</f>
        <v>9422.8968294803999</v>
      </c>
      <c r="I10" s="76">
        <f>I6*'Financial information 1 Pt1'!$C$7</f>
        <v>11430.569838751246</v>
      </c>
      <c r="J10" s="76">
        <f>J6*'Financial information 1 Pt1'!$C$7</f>
        <v>11933.96070566149</v>
      </c>
      <c r="K10" s="76">
        <f>K6*'Financial information 1 Pt1'!$C$7</f>
        <v>11960</v>
      </c>
      <c r="L10" s="76">
        <f>L6*'Financial information 1 Pt1'!$C$7</f>
        <v>11960</v>
      </c>
      <c r="M10" s="76">
        <f>M6*'Financial information 1 Pt1'!$C$7</f>
        <v>11960</v>
      </c>
      <c r="N10" s="72">
        <f>SUM(B10:M10)</f>
        <v>132897.43245762144</v>
      </c>
    </row>
    <row r="11" spans="1:26">
      <c r="A11" s="31" t="s">
        <v>50</v>
      </c>
      <c r="B11" s="76">
        <f>B6*'Financial information 1 Pt1'!$C$8</f>
        <v>7280.0766485906497</v>
      </c>
      <c r="C11" s="76">
        <f>C6*'Financial information 1 Pt1'!$C$8</f>
        <v>8383.0157570464926</v>
      </c>
      <c r="D11" s="76">
        <f>D6*'Financial information 1 Pt1'!$C$8</f>
        <v>8040.9252228982268</v>
      </c>
      <c r="E11" s="76">
        <f>E6*'Financial information 1 Pt1'!$C$8</f>
        <v>10000</v>
      </c>
      <c r="F11" s="76">
        <f>F6*'Financial information 1 Pt1'!$C$8</f>
        <v>10000</v>
      </c>
      <c r="G11" s="76">
        <f>G6*'Financial information 1 Pt1'!$C$8</f>
        <v>10000</v>
      </c>
      <c r="H11" s="76">
        <f>H6*'Financial information 1 Pt1'!$C$8</f>
        <v>7878.6762788297656</v>
      </c>
      <c r="I11" s="76">
        <f>I6*'Financial information 1 Pt1'!$C$8</f>
        <v>9557.33264109636</v>
      </c>
      <c r="J11" s="76">
        <f>J6*'Financial information 1 Pt1'!$C$8</f>
        <v>9978.2280147671299</v>
      </c>
      <c r="K11" s="76">
        <f>K6*'Financial information 1 Pt1'!$C$8</f>
        <v>10000</v>
      </c>
      <c r="L11" s="76">
        <f>L6*'Financial information 1 Pt1'!$C$8</f>
        <v>10000</v>
      </c>
      <c r="M11" s="76">
        <f>M6*'Financial information 1 Pt1'!$C$8</f>
        <v>10000</v>
      </c>
      <c r="N11" s="72">
        <f>SUM(B11:M11)</f>
        <v>111118.25456322862</v>
      </c>
    </row>
    <row r="12" spans="1:26" ht="15" thickBot="1">
      <c r="A12" s="31" t="s">
        <v>51</v>
      </c>
      <c r="B12" s="79">
        <f>B7*$G$2</f>
        <v>1359.9616757046749</v>
      </c>
      <c r="C12" s="79">
        <f t="shared" ref="C12:M12" si="3">C7*$G$2</f>
        <v>808.4921214767536</v>
      </c>
      <c r="D12" s="79">
        <f t="shared" si="3"/>
        <v>979.53738855088659</v>
      </c>
      <c r="E12" s="79">
        <f t="shared" si="3"/>
        <v>0</v>
      </c>
      <c r="F12" s="79">
        <f t="shared" si="3"/>
        <v>0</v>
      </c>
      <c r="G12" s="79">
        <f t="shared" si="3"/>
        <v>0</v>
      </c>
      <c r="H12" s="79">
        <f t="shared" si="3"/>
        <v>1060.6618605851172</v>
      </c>
      <c r="I12" s="79">
        <f t="shared" si="3"/>
        <v>221.33367945182044</v>
      </c>
      <c r="J12" s="79">
        <f t="shared" si="3"/>
        <v>10.885992616434805</v>
      </c>
      <c r="K12" s="79">
        <f t="shared" si="3"/>
        <v>0</v>
      </c>
      <c r="L12" s="79">
        <f t="shared" si="3"/>
        <v>0</v>
      </c>
      <c r="M12" s="79">
        <f t="shared" si="3"/>
        <v>0</v>
      </c>
      <c r="N12" s="74">
        <f>SUM(B12:M12)</f>
        <v>4440.8727183856881</v>
      </c>
    </row>
    <row r="13" spans="1:26" ht="15" thickTop="1">
      <c r="A13" s="65" t="s">
        <v>52</v>
      </c>
      <c r="B13" s="77">
        <f>SUM(B10:B12)</f>
        <v>17347.009996009743</v>
      </c>
      <c r="C13" s="77">
        <f t="shared" ref="C13:M13" si="4">SUM(C10:C12)</f>
        <v>19217.594723950853</v>
      </c>
      <c r="D13" s="77">
        <f t="shared" si="4"/>
        <v>18637.409178035392</v>
      </c>
      <c r="E13" s="77">
        <f t="shared" si="4"/>
        <v>21960</v>
      </c>
      <c r="F13" s="77">
        <f t="shared" si="4"/>
        <v>21960</v>
      </c>
      <c r="G13" s="77">
        <f t="shared" si="4"/>
        <v>21960</v>
      </c>
      <c r="H13" s="77">
        <f t="shared" si="4"/>
        <v>18362.234968895282</v>
      </c>
      <c r="I13" s="77">
        <f t="shared" si="4"/>
        <v>21209.236159299428</v>
      </c>
      <c r="J13" s="77">
        <f t="shared" si="4"/>
        <v>21923.074713045051</v>
      </c>
      <c r="K13" s="77">
        <f t="shared" si="4"/>
        <v>21960</v>
      </c>
      <c r="L13" s="77">
        <f t="shared" si="4"/>
        <v>21960</v>
      </c>
      <c r="M13" s="77">
        <f t="shared" si="4"/>
        <v>21960</v>
      </c>
      <c r="N13" s="73">
        <f>SUM(N10:N12)</f>
        <v>248456.55973923576</v>
      </c>
    </row>
    <row r="14" spans="1:26">
      <c r="A14" s="66" t="s">
        <v>53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1"/>
    </row>
    <row r="15" spans="1:26">
      <c r="A15" s="31" t="s">
        <v>54</v>
      </c>
      <c r="B15" s="76">
        <f>GETPIVOTDATA("Expense/revenue",'Financial information 1 Pt1'!$E$5,"Profit Model label","Fixed Expense")</f>
        <v>5800</v>
      </c>
      <c r="C15" s="76">
        <f>GETPIVOTDATA("Expense/revenue",'Financial information 1 Pt1'!$E$5,"Profit Model label","Fixed Expense")</f>
        <v>5800</v>
      </c>
      <c r="D15" s="76">
        <f>GETPIVOTDATA("Expense/revenue",'Financial information 1 Pt1'!$E$5,"Profit Model label","Fixed Expense")</f>
        <v>5800</v>
      </c>
      <c r="E15" s="76">
        <f>GETPIVOTDATA("Expense/revenue",'Financial information 1 Pt1'!$E$5,"Profit Model label","Fixed Expense")</f>
        <v>5800</v>
      </c>
      <c r="F15" s="76">
        <f>GETPIVOTDATA("Expense/revenue",'Financial information 1 Pt1'!$E$5,"Profit Model label","Fixed Expense")</f>
        <v>5800</v>
      </c>
      <c r="G15" s="76">
        <f>GETPIVOTDATA("Expense/revenue",'Financial information 1 Pt1'!$E$5,"Profit Model label","Fixed Expense")</f>
        <v>5800</v>
      </c>
      <c r="H15" s="76">
        <f>GETPIVOTDATA("Expense/revenue",'Financial information 1 Pt1'!$E$5,"Profit Model label","Fixed Expense")</f>
        <v>5800</v>
      </c>
      <c r="I15" s="76">
        <f>GETPIVOTDATA("Expense/revenue",'Financial information 1 Pt1'!$E$5,"Profit Model label","Fixed Expense")</f>
        <v>5800</v>
      </c>
      <c r="J15" s="76">
        <f>GETPIVOTDATA("Expense/revenue",'Financial information 1 Pt1'!$E$5,"Profit Model label","Fixed Expense")</f>
        <v>5800</v>
      </c>
      <c r="K15" s="76">
        <f>GETPIVOTDATA("Expense/revenue",'Financial information 1 Pt1'!$E$5,"Profit Model label","Fixed Expense")</f>
        <v>5800</v>
      </c>
      <c r="L15" s="76">
        <f>GETPIVOTDATA("Expense/revenue",'Financial information 1 Pt1'!$E$5,"Profit Model label","Fixed Expense")</f>
        <v>5800</v>
      </c>
      <c r="M15" s="76">
        <f>GETPIVOTDATA("Expense/revenue",'Financial information 1 Pt1'!$E$5,"Profit Model label","Fixed Expense")</f>
        <v>5800</v>
      </c>
      <c r="N15" s="72">
        <f>SUM(B15:M15)</f>
        <v>69600</v>
      </c>
    </row>
    <row r="16" spans="1:26">
      <c r="A16" s="59" t="s">
        <v>55</v>
      </c>
      <c r="B16" s="76">
        <f>GETPIVOTDATA("Expense/revenue",'Financial information 1 Pt1'!$E$5,"Profit Model label","Fixed Expense")</f>
        <v>5800</v>
      </c>
      <c r="C16" s="76">
        <f>GETPIVOTDATA("Expense/revenue",'Financial information 1 Pt1'!$E$5,"Profit Model label","Fixed Expense")</f>
        <v>5800</v>
      </c>
      <c r="D16" s="76">
        <f>GETPIVOTDATA("Expense/revenue",'Financial information 1 Pt1'!$E$5,"Profit Model label","Fixed Expense")</f>
        <v>5800</v>
      </c>
      <c r="E16" s="76">
        <f>GETPIVOTDATA("Expense/revenue",'Financial information 1 Pt1'!$E$5,"Profit Model label","Fixed Expense")</f>
        <v>5800</v>
      </c>
      <c r="F16" s="76">
        <f>GETPIVOTDATA("Expense/revenue",'Financial information 1 Pt1'!$E$5,"Profit Model label","Fixed Expense")</f>
        <v>5800</v>
      </c>
      <c r="G16" s="76">
        <f>GETPIVOTDATA("Expense/revenue",'Financial information 1 Pt1'!$E$5,"Profit Model label","Fixed Expense")</f>
        <v>5800</v>
      </c>
      <c r="H16" s="76">
        <f>GETPIVOTDATA("Expense/revenue",'Financial information 1 Pt1'!$E$5,"Profit Model label","Fixed Expense")</f>
        <v>5800</v>
      </c>
      <c r="I16" s="76">
        <f>GETPIVOTDATA("Expense/revenue",'Financial information 1 Pt1'!$E$5,"Profit Model label","Fixed Expense")</f>
        <v>5800</v>
      </c>
      <c r="J16" s="76">
        <f>GETPIVOTDATA("Expense/revenue",'Financial information 1 Pt1'!$E$5,"Profit Model label","Fixed Expense")</f>
        <v>5800</v>
      </c>
      <c r="K16" s="76">
        <f>GETPIVOTDATA("Expense/revenue",'Financial information 1 Pt1'!$E$5,"Profit Model label","Fixed Expense")</f>
        <v>5800</v>
      </c>
      <c r="L16" s="76">
        <f>GETPIVOTDATA("Expense/revenue",'Financial information 1 Pt1'!$E$5,"Profit Model label","Fixed Expense")</f>
        <v>5800</v>
      </c>
      <c r="M16" s="76">
        <f>GETPIVOTDATA("Expense/revenue",'Financial information 1 Pt1'!$E$5,"Profit Model label","Fixed Expense")</f>
        <v>5800</v>
      </c>
      <c r="N16" s="72">
        <f>SUM(B16:M16)</f>
        <v>69600</v>
      </c>
      <c r="P16" s="76"/>
    </row>
    <row r="17" spans="1:16">
      <c r="A17" s="31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2"/>
      <c r="P17" s="76"/>
    </row>
    <row r="18" spans="1:16">
      <c r="A18" s="31" t="s">
        <v>56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2"/>
      <c r="P18" s="76"/>
    </row>
    <row r="19" spans="1:16">
      <c r="A19" s="31" t="s">
        <v>57</v>
      </c>
      <c r="B19" s="76">
        <f>$E$2*GETPIVOTDATA("Expense/revenue",'Financial information 1 Pt1'!$E$5,"Profit Model label","Variable  Expense: Coffee")</f>
        <v>2000</v>
      </c>
      <c r="C19" s="76">
        <f>$E$2*GETPIVOTDATA("Expense/revenue",'Financial information 1 Pt1'!$E$5,"Profit Model label","Variable  Expense: Coffee")</f>
        <v>2000</v>
      </c>
      <c r="D19" s="76">
        <f>$E$2*GETPIVOTDATA("Expense/revenue",'Financial information 1 Pt1'!$E$5,"Profit Model label","Variable  Expense: Coffee")</f>
        <v>2000</v>
      </c>
      <c r="E19" s="76">
        <f>$E$2*GETPIVOTDATA("Expense/revenue",'Financial information 1 Pt1'!$E$5,"Profit Model label","Variable  Expense: Coffee")</f>
        <v>2000</v>
      </c>
      <c r="F19" s="76">
        <f>$E$2*GETPIVOTDATA("Expense/revenue",'Financial information 1 Pt1'!$E$5,"Profit Model label","Variable  Expense: Coffee")</f>
        <v>2000</v>
      </c>
      <c r="G19" s="76">
        <f>$E$2*GETPIVOTDATA("Expense/revenue",'Financial information 1 Pt1'!$E$5,"Profit Model label","Variable  Expense: Coffee")</f>
        <v>2000</v>
      </c>
      <c r="H19" s="76">
        <f>$E$2*GETPIVOTDATA("Expense/revenue",'Financial information 1 Pt1'!$E$5,"Profit Model label","Variable  Expense: Coffee")</f>
        <v>2000</v>
      </c>
      <c r="I19" s="76">
        <f>$E$2*GETPIVOTDATA("Expense/revenue",'Financial information 1 Pt1'!$E$5,"Profit Model label","Variable  Expense: Coffee")</f>
        <v>2000</v>
      </c>
      <c r="J19" s="76">
        <f>$E$2*GETPIVOTDATA("Expense/revenue",'Financial information 1 Pt1'!$E$5,"Profit Model label","Variable  Expense: Coffee")</f>
        <v>2000</v>
      </c>
      <c r="K19" s="76">
        <f>$E$2*GETPIVOTDATA("Expense/revenue",'Financial information 1 Pt1'!$E$5,"Profit Model label","Variable  Expense: Coffee")</f>
        <v>2000</v>
      </c>
      <c r="L19" s="76">
        <f>$E$2*GETPIVOTDATA("Expense/revenue",'Financial information 1 Pt1'!$E$5,"Profit Model label","Variable  Expense: Coffee")</f>
        <v>2000</v>
      </c>
      <c r="M19" s="76">
        <f>$E$2*GETPIVOTDATA("Expense/revenue",'Financial information 1 Pt1'!$E$5,"Profit Model label","Variable  Expense: Coffee")</f>
        <v>2000</v>
      </c>
      <c r="N19" s="72">
        <f>SUM(B19:M19)</f>
        <v>24000</v>
      </c>
      <c r="P19" s="76"/>
    </row>
    <row r="20" spans="1:16">
      <c r="A20" s="31" t="s">
        <v>58</v>
      </c>
      <c r="B20" s="76">
        <f>$E$2*GETPIVOTDATA("Expense/revenue",'Financial information 1 Pt1'!$E$5,"Profit Model label","Variable  Expense: Donut")</f>
        <v>2400</v>
      </c>
      <c r="C20" s="76">
        <f>$E$2*GETPIVOTDATA("Expense/revenue",'Financial information 1 Pt1'!$E$5,"Profit Model label","Variable  Expense: Donut")</f>
        <v>2400</v>
      </c>
      <c r="D20" s="76">
        <f>$E$2*GETPIVOTDATA("Expense/revenue",'Financial information 1 Pt1'!$E$5,"Profit Model label","Variable  Expense: Donut")</f>
        <v>2400</v>
      </c>
      <c r="E20" s="76">
        <f>$E$2*GETPIVOTDATA("Expense/revenue",'Financial information 1 Pt1'!$E$5,"Profit Model label","Variable  Expense: Donut")</f>
        <v>2400</v>
      </c>
      <c r="F20" s="76">
        <f>$E$2*GETPIVOTDATA("Expense/revenue",'Financial information 1 Pt1'!$E$5,"Profit Model label","Variable  Expense: Donut")</f>
        <v>2400</v>
      </c>
      <c r="G20" s="76">
        <f>$E$2*GETPIVOTDATA("Expense/revenue",'Financial information 1 Pt1'!$E$5,"Profit Model label","Variable  Expense: Donut")</f>
        <v>2400</v>
      </c>
      <c r="H20" s="76">
        <f>$E$2*GETPIVOTDATA("Expense/revenue",'Financial information 1 Pt1'!$E$5,"Profit Model label","Variable  Expense: Donut")</f>
        <v>2400</v>
      </c>
      <c r="I20" s="76">
        <f>$E$2*GETPIVOTDATA("Expense/revenue",'Financial information 1 Pt1'!$E$5,"Profit Model label","Variable  Expense: Donut")</f>
        <v>2400</v>
      </c>
      <c r="J20" s="76">
        <f>$E$2*GETPIVOTDATA("Expense/revenue",'Financial information 1 Pt1'!$E$5,"Profit Model label","Variable  Expense: Donut")</f>
        <v>2400</v>
      </c>
      <c r="K20" s="76">
        <f>$E$2*GETPIVOTDATA("Expense/revenue",'Financial information 1 Pt1'!$E$5,"Profit Model label","Variable  Expense: Donut")</f>
        <v>2400</v>
      </c>
      <c r="L20" s="76">
        <f>$E$2*GETPIVOTDATA("Expense/revenue",'Financial information 1 Pt1'!$E$5,"Profit Model label","Variable  Expense: Donut")</f>
        <v>2400</v>
      </c>
      <c r="M20" s="76">
        <f>$E$2*GETPIVOTDATA("Expense/revenue",'Financial information 1 Pt1'!$E$5,"Profit Model label","Variable  Expense: Donut")</f>
        <v>2400</v>
      </c>
      <c r="N20" s="72"/>
    </row>
    <row r="21" spans="1:16">
      <c r="A21" s="59" t="s">
        <v>59</v>
      </c>
      <c r="B21" s="80">
        <f>SUM(B19:B20)</f>
        <v>4400</v>
      </c>
      <c r="C21" s="80">
        <f t="shared" ref="C21:M21" si="5">SUM(C19:C20)</f>
        <v>4400</v>
      </c>
      <c r="D21" s="80">
        <f t="shared" si="5"/>
        <v>4400</v>
      </c>
      <c r="E21" s="80">
        <f t="shared" si="5"/>
        <v>4400</v>
      </c>
      <c r="F21" s="80">
        <f t="shared" si="5"/>
        <v>4400</v>
      </c>
      <c r="G21" s="80">
        <f t="shared" si="5"/>
        <v>4400</v>
      </c>
      <c r="H21" s="80">
        <f t="shared" si="5"/>
        <v>4400</v>
      </c>
      <c r="I21" s="80">
        <f t="shared" si="5"/>
        <v>4400</v>
      </c>
      <c r="J21" s="80">
        <f t="shared" si="5"/>
        <v>4400</v>
      </c>
      <c r="K21" s="80">
        <f t="shared" si="5"/>
        <v>4400</v>
      </c>
      <c r="L21" s="80">
        <f t="shared" si="5"/>
        <v>4400</v>
      </c>
      <c r="M21" s="80">
        <f t="shared" si="5"/>
        <v>4400</v>
      </c>
      <c r="N21" s="72">
        <f>SUM(B21:M21)</f>
        <v>52800</v>
      </c>
    </row>
    <row r="22" spans="1:16" ht="15" thickBot="1">
      <c r="A22" s="31" t="s">
        <v>60</v>
      </c>
      <c r="B22" s="81">
        <f>B8*$F$2</f>
        <v>0</v>
      </c>
      <c r="C22" s="81">
        <f t="shared" ref="C22:M22" si="6">C8*$F$2</f>
        <v>0</v>
      </c>
      <c r="D22" s="81">
        <f t="shared" si="6"/>
        <v>0</v>
      </c>
      <c r="E22" s="81">
        <f t="shared" si="6"/>
        <v>367.18640461079758</v>
      </c>
      <c r="F22" s="81">
        <f t="shared" si="6"/>
        <v>1348.5716708164373</v>
      </c>
      <c r="G22" s="81">
        <f t="shared" si="6"/>
        <v>501.68441434459783</v>
      </c>
      <c r="H22" s="81">
        <f t="shared" si="6"/>
        <v>0</v>
      </c>
      <c r="I22" s="81">
        <f t="shared" si="6"/>
        <v>0</v>
      </c>
      <c r="J22" s="81">
        <f t="shared" si="6"/>
        <v>0</v>
      </c>
      <c r="K22" s="81">
        <f t="shared" si="6"/>
        <v>1628.7311703284058</v>
      </c>
      <c r="L22" s="81">
        <f t="shared" si="6"/>
        <v>3318.2852392322975</v>
      </c>
      <c r="M22" s="81">
        <f t="shared" si="6"/>
        <v>7286.4448826710077</v>
      </c>
      <c r="N22" s="74">
        <f>SUM(B22:M22)</f>
        <v>14450.903782003545</v>
      </c>
    </row>
    <row r="23" spans="1:16" ht="15" thickTop="1">
      <c r="A23" s="65" t="s">
        <v>61</v>
      </c>
      <c r="B23" s="77">
        <f>B16+B21+B22</f>
        <v>10200</v>
      </c>
      <c r="C23" s="77">
        <f t="shared" ref="C23:L23" si="7">C16+C21+C22</f>
        <v>10200</v>
      </c>
      <c r="D23" s="77">
        <f t="shared" si="7"/>
        <v>10200</v>
      </c>
      <c r="E23" s="77">
        <f t="shared" si="7"/>
        <v>10567.186404610798</v>
      </c>
      <c r="F23" s="77">
        <f t="shared" si="7"/>
        <v>11548.571670816436</v>
      </c>
      <c r="G23" s="77">
        <f t="shared" si="7"/>
        <v>10701.684414344598</v>
      </c>
      <c r="H23" s="77">
        <f t="shared" si="7"/>
        <v>10200</v>
      </c>
      <c r="I23" s="77">
        <f t="shared" si="7"/>
        <v>10200</v>
      </c>
      <c r="J23" s="77">
        <f t="shared" si="7"/>
        <v>10200</v>
      </c>
      <c r="K23" s="77">
        <f t="shared" si="7"/>
        <v>11828.731170328407</v>
      </c>
      <c r="L23" s="77">
        <f t="shared" si="7"/>
        <v>13518.285239232297</v>
      </c>
      <c r="M23" s="77">
        <f>M16+M21+M22</f>
        <v>17486.444882671007</v>
      </c>
      <c r="N23" s="72">
        <f>SUM(B23:M23)</f>
        <v>136850.90378200356</v>
      </c>
    </row>
    <row r="24" spans="1:16" ht="15" thickBot="1">
      <c r="A24" s="31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109"/>
    </row>
    <row r="25" spans="1:16" ht="15.6" thickTop="1" thickBot="1">
      <c r="A25" s="67" t="s">
        <v>62</v>
      </c>
      <c r="B25" s="83">
        <f>B13-B23</f>
        <v>7147.0099960097432</v>
      </c>
      <c r="C25" s="83">
        <f t="shared" ref="C25:M25" si="8">C13-C23</f>
        <v>9017.5947239508532</v>
      </c>
      <c r="D25" s="83">
        <f t="shared" si="8"/>
        <v>8437.409178035392</v>
      </c>
      <c r="E25" s="83">
        <f t="shared" si="8"/>
        <v>11392.813595389202</v>
      </c>
      <c r="F25" s="83">
        <f t="shared" si="8"/>
        <v>10411.428329183564</v>
      </c>
      <c r="G25" s="83">
        <f t="shared" si="8"/>
        <v>11258.315585655402</v>
      </c>
      <c r="H25" s="83">
        <f t="shared" si="8"/>
        <v>8162.2349688952818</v>
      </c>
      <c r="I25" s="83">
        <f t="shared" si="8"/>
        <v>11009.236159299428</v>
      </c>
      <c r="J25" s="83">
        <f t="shared" si="8"/>
        <v>11723.074713045051</v>
      </c>
      <c r="K25" s="83">
        <f t="shared" si="8"/>
        <v>10131.268829671593</v>
      </c>
      <c r="L25" s="83">
        <f t="shared" si="8"/>
        <v>8441.7147607677034</v>
      </c>
      <c r="M25" s="83">
        <f t="shared" si="8"/>
        <v>4473.5551173289932</v>
      </c>
      <c r="N25" s="75">
        <f>SUM(B25:M25)</f>
        <v>111605.6559572322</v>
      </c>
    </row>
    <row r="27" spans="1:16">
      <c r="A27" s="57"/>
      <c r="B27" s="45" t="s">
        <v>97</v>
      </c>
      <c r="C27" s="45"/>
      <c r="D27" s="45"/>
      <c r="E27" s="45"/>
      <c r="F27" s="45"/>
      <c r="G27" s="45"/>
    </row>
    <row r="28" spans="1:16" ht="15" thickBot="1">
      <c r="A28" s="29" t="s">
        <v>63</v>
      </c>
    </row>
    <row r="29" spans="1:16">
      <c r="A29" s="63" t="s">
        <v>7</v>
      </c>
      <c r="B29" s="61">
        <f>B4</f>
        <v>44927</v>
      </c>
      <c r="C29" s="61">
        <f t="shared" ref="C29:M29" si="9">C4</f>
        <v>44958</v>
      </c>
      <c r="D29" s="61">
        <f t="shared" si="9"/>
        <v>44986</v>
      </c>
      <c r="E29" s="61">
        <f t="shared" si="9"/>
        <v>45017</v>
      </c>
      <c r="F29" s="61">
        <f t="shared" si="9"/>
        <v>45047</v>
      </c>
      <c r="G29" s="61">
        <f t="shared" si="9"/>
        <v>45078</v>
      </c>
      <c r="H29" s="61">
        <f t="shared" si="9"/>
        <v>45108</v>
      </c>
      <c r="I29" s="61">
        <f t="shared" si="9"/>
        <v>45139</v>
      </c>
      <c r="J29" s="61">
        <f t="shared" si="9"/>
        <v>45170</v>
      </c>
      <c r="K29" s="61">
        <f t="shared" si="9"/>
        <v>45200</v>
      </c>
      <c r="L29" s="61">
        <f t="shared" si="9"/>
        <v>45231</v>
      </c>
      <c r="M29" s="61">
        <f t="shared" si="9"/>
        <v>45261</v>
      </c>
      <c r="N29" s="70" t="s">
        <v>96</v>
      </c>
    </row>
    <row r="30" spans="1:16">
      <c r="A30" s="31" t="s">
        <v>38</v>
      </c>
      <c r="B30" s="76">
        <f>B5*(1+'Financial information 1 Pt1'!$B$34)</f>
        <v>3552.677404512237</v>
      </c>
      <c r="C30" s="76">
        <f>C5*(1+'Financial information 1 Pt1'!$B$34)</f>
        <v>4090.9116894386884</v>
      </c>
      <c r="D30" s="76">
        <f>D5*(1+'Financial information 1 Pt1'!$B$34)</f>
        <v>3923.9715087743348</v>
      </c>
      <c r="E30" s="76">
        <f>E5*(1+'Financial information 1 Pt1'!$B$34)</f>
        <v>5029.3224712083911</v>
      </c>
      <c r="F30" s="76">
        <f>F5*(1+'Financial information 1 Pt1'!$B$34)</f>
        <v>5428.4191461320179</v>
      </c>
      <c r="G30" s="76">
        <f>G5*(1+'Financial information 1 Pt1'!$B$34)</f>
        <v>5084.0183285001367</v>
      </c>
      <c r="H30" s="76">
        <f>H5*(1+'Financial information 1 Pt1'!$B$34)</f>
        <v>3844.7940240689254</v>
      </c>
      <c r="I30" s="76">
        <f>I5*(1+'Financial information 1 Pt1'!$B$34)</f>
        <v>4663.9783288550234</v>
      </c>
      <c r="J30" s="76">
        <f>J5*(1+'Financial information 1 Pt1'!$B$34)</f>
        <v>4869.3752712063597</v>
      </c>
      <c r="K30" s="76">
        <f>K5*(1+'Financial information 1 Pt1'!$B$34)</f>
        <v>5542.3506759335514</v>
      </c>
      <c r="L30" s="76">
        <f>L5*(1+'Financial information 1 Pt1'!$B$34)</f>
        <v>6229.435997287801</v>
      </c>
      <c r="M30" s="76">
        <f>M5*(1+'Financial information 1 Pt1'!$B$34)</f>
        <v>7843.1542522862101</v>
      </c>
      <c r="N30" s="71">
        <f>SUM(B30:M30)</f>
        <v>60102.409098203672</v>
      </c>
    </row>
    <row r="31" spans="1:16">
      <c r="A31" s="31" t="s">
        <v>45</v>
      </c>
      <c r="B31" s="76">
        <f>MIN(B30,$E$2)</f>
        <v>3552.677404512237</v>
      </c>
      <c r="C31" s="76">
        <f t="shared" ref="C31:M31" si="10">MIN(C30,$E$2)</f>
        <v>4000</v>
      </c>
      <c r="D31" s="76">
        <f t="shared" si="10"/>
        <v>3923.9715087743348</v>
      </c>
      <c r="E31" s="76">
        <f t="shared" si="10"/>
        <v>4000</v>
      </c>
      <c r="F31" s="76">
        <f t="shared" si="10"/>
        <v>4000</v>
      </c>
      <c r="G31" s="76">
        <f t="shared" si="10"/>
        <v>4000</v>
      </c>
      <c r="H31" s="76">
        <f t="shared" si="10"/>
        <v>3844.7940240689254</v>
      </c>
      <c r="I31" s="76">
        <f t="shared" si="10"/>
        <v>4000</v>
      </c>
      <c r="J31" s="76">
        <f t="shared" si="10"/>
        <v>4000</v>
      </c>
      <c r="K31" s="76">
        <f t="shared" si="10"/>
        <v>4000</v>
      </c>
      <c r="L31" s="76">
        <f t="shared" si="10"/>
        <v>4000</v>
      </c>
      <c r="M31" s="76">
        <f t="shared" si="10"/>
        <v>4000</v>
      </c>
      <c r="N31" s="71">
        <f t="shared" ref="N31:N50" si="11">SUM(B31:M31)</f>
        <v>47321.442937355496</v>
      </c>
    </row>
    <row r="32" spans="1:16">
      <c r="A32" s="31" t="s">
        <v>46</v>
      </c>
      <c r="B32" s="76">
        <f>IF(B30&lt;$E$2,$E$2-B30,0)</f>
        <v>447.32259548776301</v>
      </c>
      <c r="C32" s="76">
        <f t="shared" ref="C32:M32" si="12">IF(C30&lt;$E$2,$E$2-C30,0)</f>
        <v>0</v>
      </c>
      <c r="D32" s="76">
        <f t="shared" si="12"/>
        <v>76.028491225665221</v>
      </c>
      <c r="E32" s="76">
        <f t="shared" si="12"/>
        <v>0</v>
      </c>
      <c r="F32" s="76">
        <f t="shared" si="12"/>
        <v>0</v>
      </c>
      <c r="G32" s="76">
        <f t="shared" si="12"/>
        <v>0</v>
      </c>
      <c r="H32" s="76">
        <f t="shared" si="12"/>
        <v>155.20597593107459</v>
      </c>
      <c r="I32" s="76">
        <f t="shared" si="12"/>
        <v>0</v>
      </c>
      <c r="J32" s="76">
        <f t="shared" si="12"/>
        <v>0</v>
      </c>
      <c r="K32" s="76">
        <f t="shared" si="12"/>
        <v>0</v>
      </c>
      <c r="L32" s="76">
        <f t="shared" si="12"/>
        <v>0</v>
      </c>
      <c r="M32" s="76">
        <f t="shared" si="12"/>
        <v>0</v>
      </c>
      <c r="N32" s="71">
        <f t="shared" si="11"/>
        <v>678.55706264450282</v>
      </c>
    </row>
    <row r="33" spans="1:14">
      <c r="A33" s="32" t="s">
        <v>47</v>
      </c>
      <c r="B33" s="77">
        <f>IF(B30&gt;$E$2,B30-$E$2,0)</f>
        <v>0</v>
      </c>
      <c r="C33" s="77">
        <f t="shared" ref="C33:M33" si="13">IF(C30&gt;$E$2,C30-$E$2,0)</f>
        <v>90.911689438688427</v>
      </c>
      <c r="D33" s="77">
        <f t="shared" si="13"/>
        <v>0</v>
      </c>
      <c r="E33" s="77">
        <f t="shared" si="13"/>
        <v>1029.3224712083911</v>
      </c>
      <c r="F33" s="77">
        <f t="shared" si="13"/>
        <v>1428.4191461320179</v>
      </c>
      <c r="G33" s="77">
        <f t="shared" si="13"/>
        <v>1084.0183285001367</v>
      </c>
      <c r="H33" s="77">
        <f t="shared" si="13"/>
        <v>0</v>
      </c>
      <c r="I33" s="77">
        <f t="shared" si="13"/>
        <v>663.97832885502339</v>
      </c>
      <c r="J33" s="77">
        <f t="shared" si="13"/>
        <v>869.37527120635968</v>
      </c>
      <c r="K33" s="77">
        <f t="shared" si="13"/>
        <v>1542.3506759335514</v>
      </c>
      <c r="L33" s="77">
        <f t="shared" si="13"/>
        <v>2229.435997287801</v>
      </c>
      <c r="M33" s="77">
        <f t="shared" si="13"/>
        <v>3843.1542522862101</v>
      </c>
      <c r="N33" s="71">
        <f t="shared" si="11"/>
        <v>12780.96616084818</v>
      </c>
    </row>
    <row r="34" spans="1:14">
      <c r="A34" s="64" t="s">
        <v>48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1"/>
    </row>
    <row r="35" spans="1:14">
      <c r="A35" s="31" t="s">
        <v>49</v>
      </c>
      <c r="B35" s="76">
        <f>B31*'Financial information 1 Pt1'!$C$7</f>
        <v>10622.50543949159</v>
      </c>
      <c r="C35" s="76">
        <f>C31*'Financial information 1 Pt1'!$C$7</f>
        <v>11960</v>
      </c>
      <c r="D35" s="76">
        <f>D31*'Financial information 1 Pt1'!$C$7</f>
        <v>11732.674811235262</v>
      </c>
      <c r="E35" s="76">
        <f>E31*'Financial information 1 Pt1'!$C$7</f>
        <v>11960</v>
      </c>
      <c r="F35" s="76">
        <f>F31*'Financial information 1 Pt1'!$C$7</f>
        <v>11960</v>
      </c>
      <c r="G35" s="76">
        <f>G31*'Financial information 1 Pt1'!$C$7</f>
        <v>11960</v>
      </c>
      <c r="H35" s="76">
        <f>H31*'Financial information 1 Pt1'!$C$7</f>
        <v>11495.934131966087</v>
      </c>
      <c r="I35" s="76">
        <f>I31*'Financial information 1 Pt1'!$C$7</f>
        <v>11960</v>
      </c>
      <c r="J35" s="76">
        <f>J31*'Financial information 1 Pt1'!$C$7</f>
        <v>11960</v>
      </c>
      <c r="K35" s="76">
        <f>K31*'Financial information 1 Pt1'!$C$7</f>
        <v>11960</v>
      </c>
      <c r="L35" s="76">
        <f>L31*'Financial information 1 Pt1'!$C$7</f>
        <v>11960</v>
      </c>
      <c r="M35" s="76">
        <f>M31*'Financial information 1 Pt1'!$C$7</f>
        <v>11960</v>
      </c>
      <c r="N35" s="71">
        <f t="shared" si="11"/>
        <v>141491.11438269293</v>
      </c>
    </row>
    <row r="36" spans="1:14">
      <c r="A36" s="31" t="s">
        <v>50</v>
      </c>
      <c r="B36" s="76">
        <f>B31*'Financial information 1 Pt1'!$C$8</f>
        <v>8881.6935112805932</v>
      </c>
      <c r="C36" s="76">
        <f>C31*'Financial information 1 Pt1'!$C$8</f>
        <v>10000</v>
      </c>
      <c r="D36" s="76">
        <f>D31*'Financial information 1 Pt1'!$C$8</f>
        <v>9809.9287719358363</v>
      </c>
      <c r="E36" s="76">
        <f>E31*'Financial information 1 Pt1'!$C$8</f>
        <v>10000</v>
      </c>
      <c r="F36" s="76">
        <f>F31*'Financial information 1 Pt1'!$C$8</f>
        <v>10000</v>
      </c>
      <c r="G36" s="76">
        <f>G31*'Financial information 1 Pt1'!$C$8</f>
        <v>10000</v>
      </c>
      <c r="H36" s="76">
        <f>H31*'Financial information 1 Pt1'!$C$8</f>
        <v>9611.9850601723138</v>
      </c>
      <c r="I36" s="76">
        <f>I31*'Financial information 1 Pt1'!$C$8</f>
        <v>10000</v>
      </c>
      <c r="J36" s="76">
        <f>J31*'Financial information 1 Pt1'!$C$8</f>
        <v>10000</v>
      </c>
      <c r="K36" s="76">
        <f>K31*'Financial information 1 Pt1'!$C$8</f>
        <v>10000</v>
      </c>
      <c r="L36" s="76">
        <f>L31*'Financial information 1 Pt1'!$C$8</f>
        <v>10000</v>
      </c>
      <c r="M36" s="76">
        <f>M31*'Financial information 1 Pt1'!$C$8</f>
        <v>10000</v>
      </c>
      <c r="N36" s="71">
        <f t="shared" si="11"/>
        <v>118303.60734338875</v>
      </c>
    </row>
    <row r="37" spans="1:14" ht="15" thickBot="1">
      <c r="A37" s="31" t="s">
        <v>51</v>
      </c>
      <c r="B37" s="79">
        <f>B32*$G$2</f>
        <v>559.15324435970376</v>
      </c>
      <c r="C37" s="79">
        <f t="shared" ref="C37:M37" si="14">C32*$G$2</f>
        <v>0</v>
      </c>
      <c r="D37" s="79">
        <f t="shared" si="14"/>
        <v>95.035614032081526</v>
      </c>
      <c r="E37" s="79">
        <f t="shared" si="14"/>
        <v>0</v>
      </c>
      <c r="F37" s="79">
        <f t="shared" si="14"/>
        <v>0</v>
      </c>
      <c r="G37" s="79">
        <f t="shared" si="14"/>
        <v>0</v>
      </c>
      <c r="H37" s="79">
        <f t="shared" si="14"/>
        <v>194.00746991384324</v>
      </c>
      <c r="I37" s="79">
        <f t="shared" si="14"/>
        <v>0</v>
      </c>
      <c r="J37" s="79">
        <f t="shared" si="14"/>
        <v>0</v>
      </c>
      <c r="K37" s="79">
        <f t="shared" si="14"/>
        <v>0</v>
      </c>
      <c r="L37" s="79">
        <f t="shared" si="14"/>
        <v>0</v>
      </c>
      <c r="M37" s="79">
        <f t="shared" si="14"/>
        <v>0</v>
      </c>
      <c r="N37" s="71">
        <f t="shared" si="11"/>
        <v>848.19632830562853</v>
      </c>
    </row>
    <row r="38" spans="1:14" ht="15" thickTop="1">
      <c r="A38" s="65" t="s">
        <v>52</v>
      </c>
      <c r="B38" s="77">
        <f>SUM(B35:B37)</f>
        <v>20063.352195131883</v>
      </c>
      <c r="C38" s="77">
        <f t="shared" ref="C38:M38" si="15">SUM(C35:C37)</f>
        <v>21960</v>
      </c>
      <c r="D38" s="77">
        <f t="shared" si="15"/>
        <v>21637.639197203178</v>
      </c>
      <c r="E38" s="77">
        <f t="shared" si="15"/>
        <v>21960</v>
      </c>
      <c r="F38" s="77">
        <f t="shared" si="15"/>
        <v>21960</v>
      </c>
      <c r="G38" s="77">
        <f t="shared" si="15"/>
        <v>21960</v>
      </c>
      <c r="H38" s="77">
        <f t="shared" si="15"/>
        <v>21301.926662052243</v>
      </c>
      <c r="I38" s="77">
        <f t="shared" si="15"/>
        <v>21960</v>
      </c>
      <c r="J38" s="77">
        <f t="shared" si="15"/>
        <v>21960</v>
      </c>
      <c r="K38" s="77">
        <f t="shared" si="15"/>
        <v>21960</v>
      </c>
      <c r="L38" s="77">
        <f t="shared" si="15"/>
        <v>21960</v>
      </c>
      <c r="M38" s="77">
        <f t="shared" si="15"/>
        <v>21960</v>
      </c>
      <c r="N38" s="71">
        <f t="shared" si="11"/>
        <v>260642.91805438732</v>
      </c>
    </row>
    <row r="39" spans="1:14">
      <c r="A39" s="66" t="s">
        <v>53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1"/>
    </row>
    <row r="40" spans="1:14">
      <c r="A40" s="31" t="s">
        <v>54</v>
      </c>
      <c r="B40" s="76">
        <f>GETPIVOTDATA("Expense/revenue",'Financial information 1 Pt1'!$E$5,"Profit Model label","Fixed Expense")</f>
        <v>5800</v>
      </c>
      <c r="C40" s="76">
        <f>GETPIVOTDATA("Expense/revenue",'Financial information 1 Pt1'!$E$5,"Profit Model label","Fixed Expense")</f>
        <v>5800</v>
      </c>
      <c r="D40" s="76">
        <f>GETPIVOTDATA("Expense/revenue",'Financial information 1 Pt1'!$E$5,"Profit Model label","Fixed Expense")</f>
        <v>5800</v>
      </c>
      <c r="E40" s="76">
        <f>GETPIVOTDATA("Expense/revenue",'Financial information 1 Pt1'!$E$5,"Profit Model label","Fixed Expense")</f>
        <v>5800</v>
      </c>
      <c r="F40" s="76">
        <f>GETPIVOTDATA("Expense/revenue",'Financial information 1 Pt1'!$E$5,"Profit Model label","Fixed Expense")</f>
        <v>5800</v>
      </c>
      <c r="G40" s="76">
        <f>GETPIVOTDATA("Expense/revenue",'Financial information 1 Pt1'!$E$5,"Profit Model label","Fixed Expense")</f>
        <v>5800</v>
      </c>
      <c r="H40" s="76">
        <f>GETPIVOTDATA("Expense/revenue",'Financial information 1 Pt1'!$E$5,"Profit Model label","Fixed Expense")</f>
        <v>5800</v>
      </c>
      <c r="I40" s="76">
        <f>GETPIVOTDATA("Expense/revenue",'Financial information 1 Pt1'!$E$5,"Profit Model label","Fixed Expense")</f>
        <v>5800</v>
      </c>
      <c r="J40" s="76">
        <f>GETPIVOTDATA("Expense/revenue",'Financial information 1 Pt1'!$E$5,"Profit Model label","Fixed Expense")</f>
        <v>5800</v>
      </c>
      <c r="K40" s="76">
        <f>GETPIVOTDATA("Expense/revenue",'Financial information 1 Pt1'!$E$5,"Profit Model label","Fixed Expense")</f>
        <v>5800</v>
      </c>
      <c r="L40" s="76">
        <f>GETPIVOTDATA("Expense/revenue",'Financial information 1 Pt1'!$E$5,"Profit Model label","Fixed Expense")</f>
        <v>5800</v>
      </c>
      <c r="M40" s="76">
        <f>GETPIVOTDATA("Expense/revenue",'Financial information 1 Pt1'!$E$5,"Profit Model label","Fixed Expense")</f>
        <v>5800</v>
      </c>
      <c r="N40" s="71">
        <f t="shared" si="11"/>
        <v>69600</v>
      </c>
    </row>
    <row r="41" spans="1:14">
      <c r="A41" s="59" t="s">
        <v>55</v>
      </c>
      <c r="B41" s="76">
        <f>GETPIVOTDATA("Expense/revenue",'Financial information 1 Pt1'!$E$5,"Profit Model label","Fixed Expense")</f>
        <v>5800</v>
      </c>
      <c r="C41" s="76">
        <f>GETPIVOTDATA("Expense/revenue",'Financial information 1 Pt1'!$E$5,"Profit Model label","Fixed Expense")</f>
        <v>5800</v>
      </c>
      <c r="D41" s="76">
        <f>GETPIVOTDATA("Expense/revenue",'Financial information 1 Pt1'!$E$5,"Profit Model label","Fixed Expense")</f>
        <v>5800</v>
      </c>
      <c r="E41" s="76">
        <f>GETPIVOTDATA("Expense/revenue",'Financial information 1 Pt1'!$E$5,"Profit Model label","Fixed Expense")</f>
        <v>5800</v>
      </c>
      <c r="F41" s="76">
        <f>GETPIVOTDATA("Expense/revenue",'Financial information 1 Pt1'!$E$5,"Profit Model label","Fixed Expense")</f>
        <v>5800</v>
      </c>
      <c r="G41" s="76">
        <f>GETPIVOTDATA("Expense/revenue",'Financial information 1 Pt1'!$E$5,"Profit Model label","Fixed Expense")</f>
        <v>5800</v>
      </c>
      <c r="H41" s="76">
        <f>GETPIVOTDATA("Expense/revenue",'Financial information 1 Pt1'!$E$5,"Profit Model label","Fixed Expense")</f>
        <v>5800</v>
      </c>
      <c r="I41" s="76">
        <f>GETPIVOTDATA("Expense/revenue",'Financial information 1 Pt1'!$E$5,"Profit Model label","Fixed Expense")</f>
        <v>5800</v>
      </c>
      <c r="J41" s="76">
        <f>GETPIVOTDATA("Expense/revenue",'Financial information 1 Pt1'!$E$5,"Profit Model label","Fixed Expense")</f>
        <v>5800</v>
      </c>
      <c r="K41" s="76">
        <f>GETPIVOTDATA("Expense/revenue",'Financial information 1 Pt1'!$E$5,"Profit Model label","Fixed Expense")</f>
        <v>5800</v>
      </c>
      <c r="L41" s="76">
        <f>GETPIVOTDATA("Expense/revenue",'Financial information 1 Pt1'!$E$5,"Profit Model label","Fixed Expense")</f>
        <v>5800</v>
      </c>
      <c r="M41" s="76">
        <f>GETPIVOTDATA("Expense/revenue",'Financial information 1 Pt1'!$E$5,"Profit Model label","Fixed Expense")</f>
        <v>5800</v>
      </c>
      <c r="N41" s="71">
        <f t="shared" si="11"/>
        <v>69600</v>
      </c>
    </row>
    <row r="42" spans="1:14">
      <c r="A42" s="31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1"/>
    </row>
    <row r="43" spans="1:14">
      <c r="A43" s="31" t="s">
        <v>56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1"/>
    </row>
    <row r="44" spans="1:14">
      <c r="A44" s="31" t="s">
        <v>57</v>
      </c>
      <c r="B44" s="76">
        <f>$E$2*GETPIVOTDATA("Expense/revenue",'Financial information 1 Pt1'!$E$5,"Profit Model label","Variable  Expense: Coffee")</f>
        <v>2000</v>
      </c>
      <c r="C44" s="76">
        <f>$E$2*GETPIVOTDATA("Expense/revenue",'Financial information 1 Pt1'!$E$5,"Profit Model label","Variable  Expense: Coffee")</f>
        <v>2000</v>
      </c>
      <c r="D44" s="76">
        <f>$E$2*GETPIVOTDATA("Expense/revenue",'Financial information 1 Pt1'!$E$5,"Profit Model label","Variable  Expense: Coffee")</f>
        <v>2000</v>
      </c>
      <c r="E44" s="76">
        <f>$E$2*GETPIVOTDATA("Expense/revenue",'Financial information 1 Pt1'!$E$5,"Profit Model label","Variable  Expense: Coffee")</f>
        <v>2000</v>
      </c>
      <c r="F44" s="76">
        <f>$E$2*GETPIVOTDATA("Expense/revenue",'Financial information 1 Pt1'!$E$5,"Profit Model label","Variable  Expense: Coffee")</f>
        <v>2000</v>
      </c>
      <c r="G44" s="76">
        <f>$E$2*GETPIVOTDATA("Expense/revenue",'Financial information 1 Pt1'!$E$5,"Profit Model label","Variable  Expense: Coffee")</f>
        <v>2000</v>
      </c>
      <c r="H44" s="76">
        <f>$E$2*GETPIVOTDATA("Expense/revenue",'Financial information 1 Pt1'!$E$5,"Profit Model label","Variable  Expense: Coffee")</f>
        <v>2000</v>
      </c>
      <c r="I44" s="76">
        <f>$E$2*GETPIVOTDATA("Expense/revenue",'Financial information 1 Pt1'!$E$5,"Profit Model label","Variable  Expense: Coffee")</f>
        <v>2000</v>
      </c>
      <c r="J44" s="76">
        <f>$E$2*GETPIVOTDATA("Expense/revenue",'Financial information 1 Pt1'!$E$5,"Profit Model label","Variable  Expense: Coffee")</f>
        <v>2000</v>
      </c>
      <c r="K44" s="76">
        <f>$E$2*GETPIVOTDATA("Expense/revenue",'Financial information 1 Pt1'!$E$5,"Profit Model label","Variable  Expense: Coffee")</f>
        <v>2000</v>
      </c>
      <c r="L44" s="76">
        <f>$E$2*GETPIVOTDATA("Expense/revenue",'Financial information 1 Pt1'!$E$5,"Profit Model label","Variable  Expense: Coffee")</f>
        <v>2000</v>
      </c>
      <c r="M44" s="76">
        <f>$E$2*GETPIVOTDATA("Expense/revenue",'Financial information 1 Pt1'!$E$5,"Profit Model label","Variable  Expense: Coffee")</f>
        <v>2000</v>
      </c>
      <c r="N44" s="71">
        <f t="shared" si="11"/>
        <v>24000</v>
      </c>
    </row>
    <row r="45" spans="1:14">
      <c r="A45" s="31" t="s">
        <v>58</v>
      </c>
      <c r="B45" s="76">
        <f>$E$2*GETPIVOTDATA("Expense/revenue",'Financial information 1 Pt1'!$E$5,"Profit Model label","Variable  Expense: Donut")</f>
        <v>2400</v>
      </c>
      <c r="C45" s="76">
        <f>$E$2*GETPIVOTDATA("Expense/revenue",'Financial information 1 Pt1'!$E$5,"Profit Model label","Variable  Expense: Donut")</f>
        <v>2400</v>
      </c>
      <c r="D45" s="76">
        <f>$E$2*GETPIVOTDATA("Expense/revenue",'Financial information 1 Pt1'!$E$5,"Profit Model label","Variable  Expense: Donut")</f>
        <v>2400</v>
      </c>
      <c r="E45" s="76">
        <f>$E$2*GETPIVOTDATA("Expense/revenue",'Financial information 1 Pt1'!$E$5,"Profit Model label","Variable  Expense: Donut")</f>
        <v>2400</v>
      </c>
      <c r="F45" s="76">
        <f>$E$2*GETPIVOTDATA("Expense/revenue",'Financial information 1 Pt1'!$E$5,"Profit Model label","Variable  Expense: Donut")</f>
        <v>2400</v>
      </c>
      <c r="G45" s="76">
        <f>$E$2*GETPIVOTDATA("Expense/revenue",'Financial information 1 Pt1'!$E$5,"Profit Model label","Variable  Expense: Donut")</f>
        <v>2400</v>
      </c>
      <c r="H45" s="76">
        <f>$E$2*GETPIVOTDATA("Expense/revenue",'Financial information 1 Pt1'!$E$5,"Profit Model label","Variable  Expense: Donut")</f>
        <v>2400</v>
      </c>
      <c r="I45" s="76">
        <f>$E$2*GETPIVOTDATA("Expense/revenue",'Financial information 1 Pt1'!$E$5,"Profit Model label","Variable  Expense: Donut")</f>
        <v>2400</v>
      </c>
      <c r="J45" s="76">
        <f>$E$2*GETPIVOTDATA("Expense/revenue",'Financial information 1 Pt1'!$E$5,"Profit Model label","Variable  Expense: Donut")</f>
        <v>2400</v>
      </c>
      <c r="K45" s="76">
        <f>$E$2*GETPIVOTDATA("Expense/revenue",'Financial information 1 Pt1'!$E$5,"Profit Model label","Variable  Expense: Donut")</f>
        <v>2400</v>
      </c>
      <c r="L45" s="76">
        <f>$E$2*GETPIVOTDATA("Expense/revenue",'Financial information 1 Pt1'!$E$5,"Profit Model label","Variable  Expense: Donut")</f>
        <v>2400</v>
      </c>
      <c r="M45" s="76">
        <f>$E$2*GETPIVOTDATA("Expense/revenue",'Financial information 1 Pt1'!$E$5,"Profit Model label","Variable  Expense: Donut")</f>
        <v>2400</v>
      </c>
      <c r="N45" s="71">
        <f t="shared" si="11"/>
        <v>28800</v>
      </c>
    </row>
    <row r="46" spans="1:14">
      <c r="A46" s="59" t="s">
        <v>59</v>
      </c>
      <c r="B46" s="80">
        <f>SUM(B44:B45)</f>
        <v>4400</v>
      </c>
      <c r="C46" s="80">
        <f t="shared" ref="C46:M46" si="16">SUM(C44:C45)</f>
        <v>4400</v>
      </c>
      <c r="D46" s="80">
        <f t="shared" si="16"/>
        <v>4400</v>
      </c>
      <c r="E46" s="80">
        <f t="shared" si="16"/>
        <v>4400</v>
      </c>
      <c r="F46" s="80">
        <f t="shared" si="16"/>
        <v>4400</v>
      </c>
      <c r="G46" s="80">
        <f t="shared" si="16"/>
        <v>4400</v>
      </c>
      <c r="H46" s="80">
        <f t="shared" si="16"/>
        <v>4400</v>
      </c>
      <c r="I46" s="80">
        <f t="shared" si="16"/>
        <v>4400</v>
      </c>
      <c r="J46" s="80">
        <f t="shared" si="16"/>
        <v>4400</v>
      </c>
      <c r="K46" s="80">
        <f t="shared" si="16"/>
        <v>4400</v>
      </c>
      <c r="L46" s="80">
        <f t="shared" si="16"/>
        <v>4400</v>
      </c>
      <c r="M46" s="80">
        <f t="shared" si="16"/>
        <v>4400</v>
      </c>
      <c r="N46" s="71">
        <f t="shared" si="11"/>
        <v>52800</v>
      </c>
    </row>
    <row r="47" spans="1:14" ht="15" thickBot="1">
      <c r="A47" s="31" t="s">
        <v>60</v>
      </c>
      <c r="B47" s="81">
        <f>B33*$F$2</f>
        <v>0</v>
      </c>
      <c r="C47" s="81">
        <f t="shared" ref="C47:M47" si="17">C33*$F$2</f>
        <v>272.73506831606528</v>
      </c>
      <c r="D47" s="81">
        <f t="shared" si="17"/>
        <v>0</v>
      </c>
      <c r="E47" s="81">
        <f t="shared" si="17"/>
        <v>3087.9674136251733</v>
      </c>
      <c r="F47" s="81">
        <f t="shared" si="17"/>
        <v>4285.2574383960537</v>
      </c>
      <c r="G47" s="81">
        <f t="shared" si="17"/>
        <v>3252.0549855004101</v>
      </c>
      <c r="H47" s="81">
        <f t="shared" si="17"/>
        <v>0</v>
      </c>
      <c r="I47" s="81">
        <f t="shared" si="17"/>
        <v>1991.9349865650702</v>
      </c>
      <c r="J47" s="81">
        <f t="shared" si="17"/>
        <v>2608.1258136190791</v>
      </c>
      <c r="K47" s="81">
        <f t="shared" si="17"/>
        <v>4627.0520278006543</v>
      </c>
      <c r="L47" s="81">
        <f t="shared" si="17"/>
        <v>6688.307991863403</v>
      </c>
      <c r="M47" s="81">
        <f t="shared" si="17"/>
        <v>11529.462756858629</v>
      </c>
      <c r="N47" s="71">
        <f t="shared" si="11"/>
        <v>38342.898482544537</v>
      </c>
    </row>
    <row r="48" spans="1:14" ht="15" thickTop="1">
      <c r="A48" s="65" t="s">
        <v>61</v>
      </c>
      <c r="B48" s="77">
        <f>B41+B46+B47</f>
        <v>10200</v>
      </c>
      <c r="C48" s="77">
        <f t="shared" ref="C48:M48" si="18">C41+C46+C47</f>
        <v>10472.735068316066</v>
      </c>
      <c r="D48" s="77">
        <f t="shared" si="18"/>
        <v>10200</v>
      </c>
      <c r="E48" s="77">
        <f t="shared" si="18"/>
        <v>13287.967413625174</v>
      </c>
      <c r="F48" s="77">
        <f t="shared" si="18"/>
        <v>14485.257438396053</v>
      </c>
      <c r="G48" s="77">
        <f t="shared" si="18"/>
        <v>13452.05498550041</v>
      </c>
      <c r="H48" s="77">
        <f t="shared" si="18"/>
        <v>10200</v>
      </c>
      <c r="I48" s="77">
        <f t="shared" si="18"/>
        <v>12191.934986565069</v>
      </c>
      <c r="J48" s="77">
        <f t="shared" si="18"/>
        <v>12808.125813619079</v>
      </c>
      <c r="K48" s="77">
        <f t="shared" si="18"/>
        <v>14827.052027800655</v>
      </c>
      <c r="L48" s="77">
        <f t="shared" si="18"/>
        <v>16888.307991863403</v>
      </c>
      <c r="M48" s="77">
        <f t="shared" si="18"/>
        <v>21729.462756858629</v>
      </c>
      <c r="N48" s="71">
        <f t="shared" si="11"/>
        <v>160742.89848254452</v>
      </c>
    </row>
    <row r="49" spans="1:14" ht="15" thickBot="1">
      <c r="A49" s="31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71"/>
    </row>
    <row r="50" spans="1:14" ht="15.6" thickTop="1" thickBot="1">
      <c r="A50" s="67" t="s">
        <v>62</v>
      </c>
      <c r="B50" s="83">
        <f>B38-B48</f>
        <v>9863.3521951318835</v>
      </c>
      <c r="C50" s="83">
        <f t="shared" ref="C50:M50" si="19">C38-C48</f>
        <v>11487.264931683934</v>
      </c>
      <c r="D50" s="83">
        <f t="shared" si="19"/>
        <v>11437.639197203178</v>
      </c>
      <c r="E50" s="83">
        <f t="shared" si="19"/>
        <v>8672.0325863748258</v>
      </c>
      <c r="F50" s="83">
        <f t="shared" si="19"/>
        <v>7474.7425616039473</v>
      </c>
      <c r="G50" s="83">
        <f t="shared" si="19"/>
        <v>8507.9450144995899</v>
      </c>
      <c r="H50" s="83">
        <f t="shared" si="19"/>
        <v>11101.926662052243</v>
      </c>
      <c r="I50" s="83">
        <f t="shared" si="19"/>
        <v>9768.0650134349307</v>
      </c>
      <c r="J50" s="83">
        <f t="shared" si="19"/>
        <v>9151.8741863809209</v>
      </c>
      <c r="K50" s="83">
        <f t="shared" si="19"/>
        <v>7132.9479721993448</v>
      </c>
      <c r="L50" s="83">
        <f t="shared" si="19"/>
        <v>5071.692008136597</v>
      </c>
      <c r="M50" s="83">
        <f t="shared" si="19"/>
        <v>230.53724314137071</v>
      </c>
      <c r="N50" s="71">
        <f t="shared" si="11"/>
        <v>99900.019571842757</v>
      </c>
    </row>
    <row r="52" spans="1:14">
      <c r="A52" s="57"/>
    </row>
    <row r="53" spans="1:14" ht="15" thickBot="1">
      <c r="A53" s="29" t="s">
        <v>64</v>
      </c>
      <c r="M53" s="62"/>
    </row>
    <row r="54" spans="1:14">
      <c r="A54" s="63" t="s">
        <v>7</v>
      </c>
      <c r="B54" s="61">
        <f>B29</f>
        <v>44927</v>
      </c>
      <c r="C54" s="61">
        <f t="shared" ref="C54:M54" si="20">C29</f>
        <v>44958</v>
      </c>
      <c r="D54" s="61">
        <f t="shared" si="20"/>
        <v>44986</v>
      </c>
      <c r="E54" s="61">
        <f t="shared" si="20"/>
        <v>45017</v>
      </c>
      <c r="F54" s="61">
        <f t="shared" si="20"/>
        <v>45047</v>
      </c>
      <c r="G54" s="61">
        <f t="shared" si="20"/>
        <v>45078</v>
      </c>
      <c r="H54" s="61">
        <f t="shared" si="20"/>
        <v>45108</v>
      </c>
      <c r="I54" s="61">
        <f t="shared" si="20"/>
        <v>45139</v>
      </c>
      <c r="J54" s="61">
        <f t="shared" si="20"/>
        <v>45170</v>
      </c>
      <c r="K54" s="61">
        <f t="shared" si="20"/>
        <v>45200</v>
      </c>
      <c r="L54" s="61">
        <f t="shared" si="20"/>
        <v>45231</v>
      </c>
      <c r="M54" s="61">
        <f t="shared" si="20"/>
        <v>45261</v>
      </c>
      <c r="N54" s="70" t="s">
        <v>96</v>
      </c>
    </row>
    <row r="55" spans="1:14">
      <c r="A55" s="31" t="s">
        <v>38</v>
      </c>
      <c r="B55" s="76">
        <f>B5*(1-'Financial information 1 Pt1'!$B$35)</f>
        <v>2154.9026879828325</v>
      </c>
      <c r="C55" s="76">
        <f>C5*(1-'Financial information 1 Pt1'!$B$35)</f>
        <v>2481.3726640857617</v>
      </c>
      <c r="D55" s="76">
        <f>D5*(1-'Financial information 1 Pt1'!$B$35)</f>
        <v>2380.1138659778753</v>
      </c>
      <c r="E55" s="76">
        <f>E5*(1-'Financial information 1 Pt1'!$B$35)</f>
        <v>3050.5726464706636</v>
      </c>
      <c r="F55" s="76">
        <f>F5*(1-'Financial information 1 Pt1'!$B$35)</f>
        <v>3292.6476788013879</v>
      </c>
      <c r="G55" s="76">
        <f>G5*(1-'Financial information 1 Pt1'!$B$35)</f>
        <v>3083.7488222050006</v>
      </c>
      <c r="H55" s="76">
        <f>H5*(1-'Financial information 1 Pt1'!$B$35)</f>
        <v>2332.0881785336105</v>
      </c>
      <c r="I55" s="76">
        <f>I5*(1-'Financial information 1 Pt1'!$B$35)</f>
        <v>2828.970461764522</v>
      </c>
      <c r="J55" s="76">
        <f>J5*(1-'Financial information 1 Pt1'!$B$35)</f>
        <v>2953.5554923710706</v>
      </c>
      <c r="K55" s="76">
        <f>K5*(1-'Financial information 1 Pt1'!$B$35)</f>
        <v>3361.7536886810067</v>
      </c>
      <c r="L55" s="76">
        <f>L5*(1-'Financial information 1 Pt1'!$B$35)</f>
        <v>3778.5103590106332</v>
      </c>
      <c r="M55" s="76">
        <f>M5*(1-'Financial information 1 Pt1'!$B$35)</f>
        <v>4757.3230710588487</v>
      </c>
      <c r="N55" s="71">
        <f>SUM(B55:M55)</f>
        <v>36455.559616943217</v>
      </c>
    </row>
    <row r="56" spans="1:14">
      <c r="A56" s="31" t="s">
        <v>45</v>
      </c>
      <c r="B56" s="76">
        <f>MIN(B55,$E$2)</f>
        <v>2154.9026879828325</v>
      </c>
      <c r="C56" s="76">
        <f t="shared" ref="C56:M56" si="21">MIN(C55,$E$2)</f>
        <v>2481.3726640857617</v>
      </c>
      <c r="D56" s="76">
        <f t="shared" si="21"/>
        <v>2380.1138659778753</v>
      </c>
      <c r="E56" s="76">
        <f t="shared" si="21"/>
        <v>3050.5726464706636</v>
      </c>
      <c r="F56" s="76">
        <f t="shared" si="21"/>
        <v>3292.6476788013879</v>
      </c>
      <c r="G56" s="76">
        <f t="shared" si="21"/>
        <v>3083.7488222050006</v>
      </c>
      <c r="H56" s="76">
        <f t="shared" si="21"/>
        <v>2332.0881785336105</v>
      </c>
      <c r="I56" s="76">
        <f t="shared" si="21"/>
        <v>2828.970461764522</v>
      </c>
      <c r="J56" s="76">
        <f t="shared" si="21"/>
        <v>2953.5554923710706</v>
      </c>
      <c r="K56" s="76">
        <f t="shared" si="21"/>
        <v>3361.7536886810067</v>
      </c>
      <c r="L56" s="76">
        <f t="shared" si="21"/>
        <v>3778.5103590106332</v>
      </c>
      <c r="M56" s="76">
        <f t="shared" si="21"/>
        <v>4000</v>
      </c>
      <c r="N56" s="71">
        <f t="shared" ref="N56:N73" si="22">SUM(B56:M56)</f>
        <v>35698.236545884371</v>
      </c>
    </row>
    <row r="57" spans="1:14">
      <c r="A57" s="31" t="s">
        <v>46</v>
      </c>
      <c r="B57" s="76">
        <f>IF(B55&lt;$E$2,$E$2-B55,0)</f>
        <v>1845.0973120171675</v>
      </c>
      <c r="C57" s="76">
        <f t="shared" ref="C57:M57" si="23">IF(C55&lt;$E$2,$E$2-C55,0)</f>
        <v>1518.6273359142383</v>
      </c>
      <c r="D57" s="76">
        <f t="shared" si="23"/>
        <v>1619.8861340221247</v>
      </c>
      <c r="E57" s="76">
        <f t="shared" si="23"/>
        <v>949.42735352933641</v>
      </c>
      <c r="F57" s="76">
        <f t="shared" si="23"/>
        <v>707.35232119861212</v>
      </c>
      <c r="G57" s="76">
        <f t="shared" si="23"/>
        <v>916.25117779499942</v>
      </c>
      <c r="H57" s="76">
        <f t="shared" si="23"/>
        <v>1667.9118214663895</v>
      </c>
      <c r="I57" s="76">
        <f t="shared" si="23"/>
        <v>1171.029538235478</v>
      </c>
      <c r="J57" s="76">
        <f t="shared" si="23"/>
        <v>1046.4445076289294</v>
      </c>
      <c r="K57" s="76">
        <f t="shared" si="23"/>
        <v>638.24631131899332</v>
      </c>
      <c r="L57" s="76">
        <f t="shared" si="23"/>
        <v>221.48964098936676</v>
      </c>
      <c r="M57" s="76">
        <f t="shared" si="23"/>
        <v>0</v>
      </c>
      <c r="N57" s="71">
        <f t="shared" si="22"/>
        <v>12301.763454115635</v>
      </c>
    </row>
    <row r="58" spans="1:14">
      <c r="A58" s="32" t="s">
        <v>47</v>
      </c>
      <c r="B58" s="77">
        <f>IF(B55&gt;$E$2,B55-$E$2,0)</f>
        <v>0</v>
      </c>
      <c r="C58" s="77">
        <f t="shared" ref="C58:M58" si="24">IF(C55&gt;$E$2,C55-$E$2,0)</f>
        <v>0</v>
      </c>
      <c r="D58" s="77">
        <f t="shared" si="24"/>
        <v>0</v>
      </c>
      <c r="E58" s="77">
        <f t="shared" si="24"/>
        <v>0</v>
      </c>
      <c r="F58" s="77">
        <f t="shared" si="24"/>
        <v>0</v>
      </c>
      <c r="G58" s="77">
        <f t="shared" si="24"/>
        <v>0</v>
      </c>
      <c r="H58" s="77">
        <f t="shared" si="24"/>
        <v>0</v>
      </c>
      <c r="I58" s="77">
        <f t="shared" si="24"/>
        <v>0</v>
      </c>
      <c r="J58" s="77">
        <f t="shared" si="24"/>
        <v>0</v>
      </c>
      <c r="K58" s="77">
        <f t="shared" si="24"/>
        <v>0</v>
      </c>
      <c r="L58" s="77">
        <f t="shared" si="24"/>
        <v>0</v>
      </c>
      <c r="M58" s="77">
        <f t="shared" si="24"/>
        <v>757.32307105884865</v>
      </c>
      <c r="N58" s="71">
        <f t="shared" si="22"/>
        <v>757.32307105884865</v>
      </c>
    </row>
    <row r="59" spans="1:14">
      <c r="A59" s="64" t="s">
        <v>48</v>
      </c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1"/>
    </row>
    <row r="60" spans="1:14">
      <c r="A60" s="31" t="s">
        <v>49</v>
      </c>
      <c r="B60" s="76">
        <f>B56*'Financial information 1 Pt1'!$C$7</f>
        <v>6443.1590370686699</v>
      </c>
      <c r="C60" s="76">
        <f>C56*'Financial information 1 Pt1'!$C$7</f>
        <v>7419.304265616428</v>
      </c>
      <c r="D60" s="76">
        <f>D56*'Financial information 1 Pt1'!$C$7</f>
        <v>7116.5404592738478</v>
      </c>
      <c r="E60" s="76">
        <f>E56*'Financial information 1 Pt1'!$C$7</f>
        <v>9121.2122129472846</v>
      </c>
      <c r="F60" s="76">
        <f>F56*'Financial information 1 Pt1'!$C$7</f>
        <v>9845.0165596161496</v>
      </c>
      <c r="G60" s="76">
        <f>G56*'Financial information 1 Pt1'!$C$7</f>
        <v>9220.4089783929521</v>
      </c>
      <c r="H60" s="76">
        <f>H56*'Financial information 1 Pt1'!$C$7</f>
        <v>6972.943653815496</v>
      </c>
      <c r="I60" s="76">
        <f>I56*'Financial information 1 Pt1'!$C$7</f>
        <v>8458.6216806759221</v>
      </c>
      <c r="J60" s="76">
        <f>J56*'Financial information 1 Pt1'!$C$7</f>
        <v>8831.1309221895026</v>
      </c>
      <c r="K60" s="76">
        <f>K56*'Financial information 1 Pt1'!$C$7</f>
        <v>10051.64352915621</v>
      </c>
      <c r="L60" s="76">
        <f>L56*'Financial information 1 Pt1'!$C$7</f>
        <v>11297.745973441793</v>
      </c>
      <c r="M60" s="76">
        <f>M56*'Financial information 1 Pt1'!$C$7</f>
        <v>11960</v>
      </c>
      <c r="N60" s="71">
        <f t="shared" si="22"/>
        <v>106737.72727219426</v>
      </c>
    </row>
    <row r="61" spans="1:14">
      <c r="A61" s="31" t="s">
        <v>50</v>
      </c>
      <c r="B61" s="76">
        <f>B56*'Financial information 1 Pt1'!$C$8</f>
        <v>5387.2567199570813</v>
      </c>
      <c r="C61" s="76">
        <f>C56*'Financial information 1 Pt1'!$C$8</f>
        <v>6203.4316602144045</v>
      </c>
      <c r="D61" s="76">
        <f>D56*'Financial information 1 Pt1'!$C$8</f>
        <v>5950.2846649446883</v>
      </c>
      <c r="E61" s="76">
        <f>E56*'Financial information 1 Pt1'!$C$8</f>
        <v>7626.4316161766592</v>
      </c>
      <c r="F61" s="76">
        <f>F56*'Financial information 1 Pt1'!$C$8</f>
        <v>8231.6191970034706</v>
      </c>
      <c r="G61" s="76">
        <f>G56*'Financial information 1 Pt1'!$C$8</f>
        <v>7709.3720555125019</v>
      </c>
      <c r="H61" s="76">
        <f>H56*'Financial information 1 Pt1'!$C$8</f>
        <v>5830.2204463340258</v>
      </c>
      <c r="I61" s="76">
        <f>I56*'Financial information 1 Pt1'!$C$8</f>
        <v>7072.4261544113051</v>
      </c>
      <c r="J61" s="76">
        <f>J56*'Financial information 1 Pt1'!$C$8</f>
        <v>7383.8887309276761</v>
      </c>
      <c r="K61" s="76">
        <f>K56*'Financial information 1 Pt1'!$C$8</f>
        <v>8404.3842217025158</v>
      </c>
      <c r="L61" s="76">
        <f>L56*'Financial information 1 Pt1'!$C$8</f>
        <v>9446.2758975265824</v>
      </c>
      <c r="M61" s="76">
        <f>M56*'Financial information 1 Pt1'!$C$8</f>
        <v>10000</v>
      </c>
      <c r="N61" s="71">
        <f t="shared" si="22"/>
        <v>89245.591364710912</v>
      </c>
    </row>
    <row r="62" spans="1:14" ht="15" thickBot="1">
      <c r="A62" s="31" t="s">
        <v>51</v>
      </c>
      <c r="B62" s="79">
        <f>B57*$G$2</f>
        <v>2306.3716400214594</v>
      </c>
      <c r="C62" s="79">
        <f t="shared" ref="C62:M62" si="25">C57*$G$2</f>
        <v>1898.2841698927978</v>
      </c>
      <c r="D62" s="79">
        <f t="shared" si="25"/>
        <v>2024.8576675276558</v>
      </c>
      <c r="E62" s="79">
        <f t="shared" si="25"/>
        <v>1186.7841919116704</v>
      </c>
      <c r="F62" s="79">
        <f t="shared" si="25"/>
        <v>884.19040149826515</v>
      </c>
      <c r="G62" s="79">
        <f t="shared" si="25"/>
        <v>1145.3139722437493</v>
      </c>
      <c r="H62" s="79">
        <f t="shared" si="25"/>
        <v>2084.8897768329871</v>
      </c>
      <c r="I62" s="79">
        <f t="shared" si="25"/>
        <v>1463.7869227943474</v>
      </c>
      <c r="J62" s="79">
        <f t="shared" si="25"/>
        <v>1308.0556345361617</v>
      </c>
      <c r="K62" s="79">
        <f t="shared" si="25"/>
        <v>797.80788914874165</v>
      </c>
      <c r="L62" s="79">
        <f t="shared" si="25"/>
        <v>276.86205123670845</v>
      </c>
      <c r="M62" s="79">
        <f t="shared" si="25"/>
        <v>0</v>
      </c>
      <c r="N62" s="71">
        <f t="shared" si="22"/>
        <v>15377.204317644548</v>
      </c>
    </row>
    <row r="63" spans="1:14" ht="15" thickTop="1">
      <c r="A63" s="65" t="s">
        <v>52</v>
      </c>
      <c r="B63" s="77">
        <f>SUM(B60:B62)</f>
        <v>14136.787397047212</v>
      </c>
      <c r="C63" s="77">
        <f t="shared" ref="C63:M63" si="26">SUM(C60:C62)</f>
        <v>15521.02009572363</v>
      </c>
      <c r="D63" s="77">
        <f t="shared" si="26"/>
        <v>15091.682791746192</v>
      </c>
      <c r="E63" s="77">
        <f t="shared" si="26"/>
        <v>17934.428021035612</v>
      </c>
      <c r="F63" s="77">
        <f t="shared" si="26"/>
        <v>18960.826158117885</v>
      </c>
      <c r="G63" s="77">
        <f t="shared" si="26"/>
        <v>18075.095006149204</v>
      </c>
      <c r="H63" s="77">
        <f t="shared" si="26"/>
        <v>14888.053876982511</v>
      </c>
      <c r="I63" s="77">
        <f t="shared" si="26"/>
        <v>16994.834757881574</v>
      </c>
      <c r="J63" s="77">
        <f t="shared" si="26"/>
        <v>17523.075287653341</v>
      </c>
      <c r="K63" s="77">
        <f t="shared" si="26"/>
        <v>19253.835640007466</v>
      </c>
      <c r="L63" s="77">
        <f t="shared" si="26"/>
        <v>21020.883922205085</v>
      </c>
      <c r="M63" s="77">
        <f t="shared" si="26"/>
        <v>21960</v>
      </c>
      <c r="N63" s="71">
        <f t="shared" si="22"/>
        <v>211360.52295454967</v>
      </c>
    </row>
    <row r="64" spans="1:14">
      <c r="A64" s="66" t="s">
        <v>53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1"/>
    </row>
    <row r="65" spans="1:14">
      <c r="A65" s="31" t="s">
        <v>54</v>
      </c>
      <c r="B65" s="76">
        <f>GETPIVOTDATA("Expense/revenue",'Financial information 1 Pt1'!$E$5,"Profit Model label","Fixed Expense")</f>
        <v>5800</v>
      </c>
      <c r="C65" s="76">
        <f>GETPIVOTDATA("Expense/revenue",'Financial information 1 Pt1'!$E$5,"Profit Model label","Fixed Expense")</f>
        <v>5800</v>
      </c>
      <c r="D65" s="76">
        <f>GETPIVOTDATA("Expense/revenue",'Financial information 1 Pt1'!$E$5,"Profit Model label","Fixed Expense")</f>
        <v>5800</v>
      </c>
      <c r="E65" s="76">
        <f>GETPIVOTDATA("Expense/revenue",'Financial information 1 Pt1'!$E$5,"Profit Model label","Fixed Expense")</f>
        <v>5800</v>
      </c>
      <c r="F65" s="76">
        <f>GETPIVOTDATA("Expense/revenue",'Financial information 1 Pt1'!$E$5,"Profit Model label","Fixed Expense")</f>
        <v>5800</v>
      </c>
      <c r="G65" s="76">
        <f>GETPIVOTDATA("Expense/revenue",'Financial information 1 Pt1'!$E$5,"Profit Model label","Fixed Expense")</f>
        <v>5800</v>
      </c>
      <c r="H65" s="76">
        <f>GETPIVOTDATA("Expense/revenue",'Financial information 1 Pt1'!$E$5,"Profit Model label","Fixed Expense")</f>
        <v>5800</v>
      </c>
      <c r="I65" s="76">
        <f>GETPIVOTDATA("Expense/revenue",'Financial information 1 Pt1'!$E$5,"Profit Model label","Fixed Expense")</f>
        <v>5800</v>
      </c>
      <c r="J65" s="76">
        <f>GETPIVOTDATA("Expense/revenue",'Financial information 1 Pt1'!$E$5,"Profit Model label","Fixed Expense")</f>
        <v>5800</v>
      </c>
      <c r="K65" s="76">
        <f>GETPIVOTDATA("Expense/revenue",'Financial information 1 Pt1'!$E$5,"Profit Model label","Fixed Expense")</f>
        <v>5800</v>
      </c>
      <c r="L65" s="76">
        <f>GETPIVOTDATA("Expense/revenue",'Financial information 1 Pt1'!$E$5,"Profit Model label","Fixed Expense")</f>
        <v>5800</v>
      </c>
      <c r="M65" s="76">
        <f>GETPIVOTDATA("Expense/revenue",'Financial information 1 Pt1'!$E$5,"Profit Model label","Fixed Expense")</f>
        <v>5800</v>
      </c>
      <c r="N65" s="71">
        <f t="shared" si="22"/>
        <v>69600</v>
      </c>
    </row>
    <row r="66" spans="1:14">
      <c r="A66" s="59" t="s">
        <v>55</v>
      </c>
      <c r="B66" s="76">
        <f>GETPIVOTDATA("Expense/revenue",'Financial information 1 Pt1'!$E$5,"Profit Model label","Fixed Expense")</f>
        <v>5800</v>
      </c>
      <c r="C66" s="76">
        <f>GETPIVOTDATA("Expense/revenue",'Financial information 1 Pt1'!$E$5,"Profit Model label","Fixed Expense")</f>
        <v>5800</v>
      </c>
      <c r="D66" s="76">
        <f>GETPIVOTDATA("Expense/revenue",'Financial information 1 Pt1'!$E$5,"Profit Model label","Fixed Expense")</f>
        <v>5800</v>
      </c>
      <c r="E66" s="76">
        <f>GETPIVOTDATA("Expense/revenue",'Financial information 1 Pt1'!$E$5,"Profit Model label","Fixed Expense")</f>
        <v>5800</v>
      </c>
      <c r="F66" s="76">
        <f>GETPIVOTDATA("Expense/revenue",'Financial information 1 Pt1'!$E$5,"Profit Model label","Fixed Expense")</f>
        <v>5800</v>
      </c>
      <c r="G66" s="76">
        <f>GETPIVOTDATA("Expense/revenue",'Financial information 1 Pt1'!$E$5,"Profit Model label","Fixed Expense")</f>
        <v>5800</v>
      </c>
      <c r="H66" s="76">
        <f>GETPIVOTDATA("Expense/revenue",'Financial information 1 Pt1'!$E$5,"Profit Model label","Fixed Expense")</f>
        <v>5800</v>
      </c>
      <c r="I66" s="76">
        <f>GETPIVOTDATA("Expense/revenue",'Financial information 1 Pt1'!$E$5,"Profit Model label","Fixed Expense")</f>
        <v>5800</v>
      </c>
      <c r="J66" s="76">
        <f>GETPIVOTDATA("Expense/revenue",'Financial information 1 Pt1'!$E$5,"Profit Model label","Fixed Expense")</f>
        <v>5800</v>
      </c>
      <c r="K66" s="76">
        <f>GETPIVOTDATA("Expense/revenue",'Financial information 1 Pt1'!$E$5,"Profit Model label","Fixed Expense")</f>
        <v>5800</v>
      </c>
      <c r="L66" s="76">
        <f>GETPIVOTDATA("Expense/revenue",'Financial information 1 Pt1'!$E$5,"Profit Model label","Fixed Expense")</f>
        <v>5800</v>
      </c>
      <c r="M66" s="76">
        <f>GETPIVOTDATA("Expense/revenue",'Financial information 1 Pt1'!$E$5,"Profit Model label","Fixed Expense")</f>
        <v>5800</v>
      </c>
      <c r="N66" s="71">
        <f t="shared" si="22"/>
        <v>69600</v>
      </c>
    </row>
    <row r="67" spans="1:14">
      <c r="A67" s="31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1"/>
    </row>
    <row r="68" spans="1:14">
      <c r="A68" s="31" t="s">
        <v>56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1"/>
    </row>
    <row r="69" spans="1:14">
      <c r="A69" s="31" t="s">
        <v>57</v>
      </c>
      <c r="B69" s="76">
        <f>$E$2*GETPIVOTDATA("Expense/revenue",'Financial information 1 Pt1'!$E$5,"Profit Model label","Variable  Expense: Coffee")</f>
        <v>2000</v>
      </c>
      <c r="C69" s="76">
        <f>$E$2*GETPIVOTDATA("Expense/revenue",'Financial information 1 Pt1'!$E$5,"Profit Model label","Variable  Expense: Coffee")</f>
        <v>2000</v>
      </c>
      <c r="D69" s="76">
        <f>$E$2*GETPIVOTDATA("Expense/revenue",'Financial information 1 Pt1'!$E$5,"Profit Model label","Variable  Expense: Coffee")</f>
        <v>2000</v>
      </c>
      <c r="E69" s="76">
        <f>$E$2*GETPIVOTDATA("Expense/revenue",'Financial information 1 Pt1'!$E$5,"Profit Model label","Variable  Expense: Coffee")</f>
        <v>2000</v>
      </c>
      <c r="F69" s="76">
        <f>$E$2*GETPIVOTDATA("Expense/revenue",'Financial information 1 Pt1'!$E$5,"Profit Model label","Variable  Expense: Coffee")</f>
        <v>2000</v>
      </c>
      <c r="G69" s="76">
        <f>$E$2*GETPIVOTDATA("Expense/revenue",'Financial information 1 Pt1'!$E$5,"Profit Model label","Variable  Expense: Coffee")</f>
        <v>2000</v>
      </c>
      <c r="H69" s="76">
        <f>$E$2*GETPIVOTDATA("Expense/revenue",'Financial information 1 Pt1'!$E$5,"Profit Model label","Variable  Expense: Coffee")</f>
        <v>2000</v>
      </c>
      <c r="I69" s="76">
        <f>$E$2*GETPIVOTDATA("Expense/revenue",'Financial information 1 Pt1'!$E$5,"Profit Model label","Variable  Expense: Coffee")</f>
        <v>2000</v>
      </c>
      <c r="J69" s="76">
        <f>$E$2*GETPIVOTDATA("Expense/revenue",'Financial information 1 Pt1'!$E$5,"Profit Model label","Variable  Expense: Coffee")</f>
        <v>2000</v>
      </c>
      <c r="K69" s="76">
        <f>$E$2*GETPIVOTDATA("Expense/revenue",'Financial information 1 Pt1'!$E$5,"Profit Model label","Variable  Expense: Coffee")</f>
        <v>2000</v>
      </c>
      <c r="L69" s="76">
        <f>$E$2*GETPIVOTDATA("Expense/revenue",'Financial information 1 Pt1'!$E$5,"Profit Model label","Variable  Expense: Coffee")</f>
        <v>2000</v>
      </c>
      <c r="M69" s="76">
        <f>$E$2*GETPIVOTDATA("Expense/revenue",'Financial information 1 Pt1'!$E$5,"Profit Model label","Variable  Expense: Coffee")</f>
        <v>2000</v>
      </c>
      <c r="N69" s="71">
        <f t="shared" si="22"/>
        <v>24000</v>
      </c>
    </row>
    <row r="70" spans="1:14">
      <c r="A70" s="31" t="s">
        <v>58</v>
      </c>
      <c r="B70" s="76">
        <f>$E$2*GETPIVOTDATA("Expense/revenue",'Financial information 1 Pt1'!$E$5,"Profit Model label","Variable  Expense: Donut")</f>
        <v>2400</v>
      </c>
      <c r="C70" s="76">
        <f>$E$2*GETPIVOTDATA("Expense/revenue",'Financial information 1 Pt1'!$E$5,"Profit Model label","Variable  Expense: Donut")</f>
        <v>2400</v>
      </c>
      <c r="D70" s="76">
        <f>$E$2*GETPIVOTDATA("Expense/revenue",'Financial information 1 Pt1'!$E$5,"Profit Model label","Variable  Expense: Donut")</f>
        <v>2400</v>
      </c>
      <c r="E70" s="76">
        <f>$E$2*GETPIVOTDATA("Expense/revenue",'Financial information 1 Pt1'!$E$5,"Profit Model label","Variable  Expense: Donut")</f>
        <v>2400</v>
      </c>
      <c r="F70" s="76">
        <f>$E$2*GETPIVOTDATA("Expense/revenue",'Financial information 1 Pt1'!$E$5,"Profit Model label","Variable  Expense: Donut")</f>
        <v>2400</v>
      </c>
      <c r="G70" s="76">
        <f>$E$2*GETPIVOTDATA("Expense/revenue",'Financial information 1 Pt1'!$E$5,"Profit Model label","Variable  Expense: Donut")</f>
        <v>2400</v>
      </c>
      <c r="H70" s="76">
        <f>$E$2*GETPIVOTDATA("Expense/revenue",'Financial information 1 Pt1'!$E$5,"Profit Model label","Variable  Expense: Donut")</f>
        <v>2400</v>
      </c>
      <c r="I70" s="76">
        <f>$E$2*GETPIVOTDATA("Expense/revenue",'Financial information 1 Pt1'!$E$5,"Profit Model label","Variable  Expense: Donut")</f>
        <v>2400</v>
      </c>
      <c r="J70" s="76">
        <f>$E$2*GETPIVOTDATA("Expense/revenue",'Financial information 1 Pt1'!$E$5,"Profit Model label","Variable  Expense: Donut")</f>
        <v>2400</v>
      </c>
      <c r="K70" s="76">
        <f>$E$2*GETPIVOTDATA("Expense/revenue",'Financial information 1 Pt1'!$E$5,"Profit Model label","Variable  Expense: Donut")</f>
        <v>2400</v>
      </c>
      <c r="L70" s="76">
        <f>$E$2*GETPIVOTDATA("Expense/revenue",'Financial information 1 Pt1'!$E$5,"Profit Model label","Variable  Expense: Donut")</f>
        <v>2400</v>
      </c>
      <c r="M70" s="76">
        <f>$E$2*GETPIVOTDATA("Expense/revenue",'Financial information 1 Pt1'!$E$5,"Profit Model label","Variable  Expense: Donut")</f>
        <v>2400</v>
      </c>
      <c r="N70" s="71">
        <f t="shared" si="22"/>
        <v>28800</v>
      </c>
    </row>
    <row r="71" spans="1:14">
      <c r="A71" s="59" t="s">
        <v>59</v>
      </c>
      <c r="B71" s="80">
        <f>SUM(B69:B70)</f>
        <v>4400</v>
      </c>
      <c r="C71" s="80">
        <f t="shared" ref="C71:M71" si="27">SUM(C69:C70)</f>
        <v>4400</v>
      </c>
      <c r="D71" s="80">
        <f t="shared" si="27"/>
        <v>4400</v>
      </c>
      <c r="E71" s="80">
        <f t="shared" si="27"/>
        <v>4400</v>
      </c>
      <c r="F71" s="80">
        <f t="shared" si="27"/>
        <v>4400</v>
      </c>
      <c r="G71" s="80">
        <f t="shared" si="27"/>
        <v>4400</v>
      </c>
      <c r="H71" s="80">
        <f t="shared" si="27"/>
        <v>4400</v>
      </c>
      <c r="I71" s="80">
        <f t="shared" si="27"/>
        <v>4400</v>
      </c>
      <c r="J71" s="80">
        <f t="shared" si="27"/>
        <v>4400</v>
      </c>
      <c r="K71" s="80">
        <f t="shared" si="27"/>
        <v>4400</v>
      </c>
      <c r="L71" s="80">
        <f t="shared" si="27"/>
        <v>4400</v>
      </c>
      <c r="M71" s="80">
        <f t="shared" si="27"/>
        <v>4400</v>
      </c>
      <c r="N71" s="71">
        <f t="shared" si="22"/>
        <v>52800</v>
      </c>
    </row>
    <row r="72" spans="1:14" ht="15" thickBot="1">
      <c r="A72" s="31" t="s">
        <v>60</v>
      </c>
      <c r="B72" s="81">
        <f>B58*$F$2</f>
        <v>0</v>
      </c>
      <c r="C72" s="81">
        <f t="shared" ref="C72:M72" si="28">C58*$F$2</f>
        <v>0</v>
      </c>
      <c r="D72" s="81">
        <f t="shared" si="28"/>
        <v>0</v>
      </c>
      <c r="E72" s="81">
        <f t="shared" si="28"/>
        <v>0</v>
      </c>
      <c r="F72" s="81">
        <f t="shared" si="28"/>
        <v>0</v>
      </c>
      <c r="G72" s="81">
        <f t="shared" si="28"/>
        <v>0</v>
      </c>
      <c r="H72" s="81">
        <f t="shared" si="28"/>
        <v>0</v>
      </c>
      <c r="I72" s="81">
        <f t="shared" si="28"/>
        <v>0</v>
      </c>
      <c r="J72" s="81">
        <f t="shared" si="28"/>
        <v>0</v>
      </c>
      <c r="K72" s="81">
        <f t="shared" si="28"/>
        <v>0</v>
      </c>
      <c r="L72" s="81">
        <f t="shared" si="28"/>
        <v>0</v>
      </c>
      <c r="M72" s="81">
        <f t="shared" si="28"/>
        <v>2271.969213176546</v>
      </c>
      <c r="N72" s="71">
        <f t="shared" si="22"/>
        <v>2271.969213176546</v>
      </c>
    </row>
    <row r="73" spans="1:14" ht="15" thickTop="1">
      <c r="A73" s="65" t="s">
        <v>61</v>
      </c>
      <c r="B73" s="77">
        <f>B66+B71+B72</f>
        <v>10200</v>
      </c>
      <c r="C73" s="77">
        <f t="shared" ref="C73:M73" si="29">C66+C71+C72</f>
        <v>10200</v>
      </c>
      <c r="D73" s="77">
        <f t="shared" si="29"/>
        <v>10200</v>
      </c>
      <c r="E73" s="77">
        <f t="shared" si="29"/>
        <v>10200</v>
      </c>
      <c r="F73" s="77">
        <f t="shared" si="29"/>
        <v>10200</v>
      </c>
      <c r="G73" s="77">
        <f t="shared" si="29"/>
        <v>10200</v>
      </c>
      <c r="H73" s="77">
        <f t="shared" si="29"/>
        <v>10200</v>
      </c>
      <c r="I73" s="77">
        <f t="shared" si="29"/>
        <v>10200</v>
      </c>
      <c r="J73" s="77">
        <f t="shared" si="29"/>
        <v>10200</v>
      </c>
      <c r="K73" s="77">
        <f t="shared" si="29"/>
        <v>10200</v>
      </c>
      <c r="L73" s="77">
        <f t="shared" si="29"/>
        <v>10200</v>
      </c>
      <c r="M73" s="77">
        <f t="shared" si="29"/>
        <v>12471.969213176546</v>
      </c>
      <c r="N73" s="71">
        <f t="shared" si="22"/>
        <v>124671.96921317655</v>
      </c>
    </row>
    <row r="74" spans="1:14" ht="15" thickBot="1">
      <c r="A74" s="31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71"/>
    </row>
    <row r="75" spans="1:14" ht="15.6" thickTop="1" thickBot="1">
      <c r="A75" s="67" t="s">
        <v>62</v>
      </c>
      <c r="B75" s="83">
        <f>B63-B73</f>
        <v>3936.7873970472119</v>
      </c>
      <c r="C75" s="83">
        <f t="shared" ref="C75:M75" si="30">C63-C73</f>
        <v>5321.0200957236302</v>
      </c>
      <c r="D75" s="83">
        <f t="shared" si="30"/>
        <v>4891.6827917461924</v>
      </c>
      <c r="E75" s="83">
        <f t="shared" si="30"/>
        <v>7734.4280210356119</v>
      </c>
      <c r="F75" s="83">
        <f t="shared" si="30"/>
        <v>8760.8261581178849</v>
      </c>
      <c r="G75" s="83">
        <f t="shared" si="30"/>
        <v>7875.095006149204</v>
      </c>
      <c r="H75" s="83">
        <f t="shared" si="30"/>
        <v>4688.0538769825107</v>
      </c>
      <c r="I75" s="83">
        <f t="shared" si="30"/>
        <v>6794.8347578815738</v>
      </c>
      <c r="J75" s="83">
        <f t="shared" si="30"/>
        <v>7323.0752876533406</v>
      </c>
      <c r="K75" s="83">
        <f t="shared" si="30"/>
        <v>9053.8356400074663</v>
      </c>
      <c r="L75" s="83">
        <f t="shared" si="30"/>
        <v>10820.883922205085</v>
      </c>
      <c r="M75" s="83">
        <f t="shared" si="30"/>
        <v>9488.030786823454</v>
      </c>
      <c r="N75" s="71">
        <f>SUM(B75:M75)</f>
        <v>86688.553741373165</v>
      </c>
    </row>
    <row r="200" spans="26:26">
      <c r="Z200" t="s">
        <v>100</v>
      </c>
    </row>
    <row r="201" spans="26:26">
      <c r="Z201" t="s">
        <v>99</v>
      </c>
    </row>
  </sheetData>
  <mergeCells count="1">
    <mergeCell ref="B1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FAC-0ACC-40FF-A9FE-59570DEED5F3}">
  <sheetPr codeName="Sheet8"/>
  <dimension ref="A1:N61"/>
  <sheetViews>
    <sheetView topLeftCell="A17" zoomScale="90" zoomScaleNormal="90" workbookViewId="0">
      <selection activeCell="E53" sqref="E53"/>
    </sheetView>
  </sheetViews>
  <sheetFormatPr defaultColWidth="8.88671875" defaultRowHeight="14.4"/>
  <cols>
    <col min="1" max="1" width="42.5546875" customWidth="1"/>
    <col min="2" max="7" width="19.44140625" customWidth="1"/>
    <col min="8" max="8" width="25.88671875" bestFit="1" customWidth="1"/>
    <col min="9" max="12" width="19.44140625" customWidth="1"/>
    <col min="13" max="13" width="20.33203125" customWidth="1"/>
    <col min="14" max="14" width="19.44140625" customWidth="1"/>
  </cols>
  <sheetData>
    <row r="1" spans="1:14" ht="15.9" customHeight="1">
      <c r="A1" s="235" t="s">
        <v>127</v>
      </c>
      <c r="B1" s="22" t="s">
        <v>65</v>
      </c>
      <c r="C1" s="233" t="s">
        <v>113</v>
      </c>
      <c r="D1" s="233"/>
      <c r="E1" s="234"/>
    </row>
    <row r="2" spans="1:14" ht="15.9" customHeight="1" thickBot="1">
      <c r="A2" s="235"/>
      <c r="C2" s="233"/>
      <c r="D2" s="233"/>
      <c r="E2" s="234"/>
      <c r="I2" s="146" t="s">
        <v>117</v>
      </c>
      <c r="J2" s="146"/>
      <c r="K2" s="146"/>
      <c r="L2" s="146"/>
      <c r="M2" s="146"/>
      <c r="N2" s="45"/>
    </row>
    <row r="3" spans="1:14" ht="19.5" customHeight="1" thickBot="1">
      <c r="A3" s="235"/>
      <c r="B3" s="36"/>
      <c r="C3" s="230" t="s">
        <v>66</v>
      </c>
      <c r="D3" s="231"/>
      <c r="E3" s="232"/>
      <c r="H3" s="37" t="s">
        <v>67</v>
      </c>
      <c r="I3" s="8" t="s">
        <v>68</v>
      </c>
    </row>
    <row r="4" spans="1:14" ht="18.600000000000001" customHeight="1" thickBot="1">
      <c r="A4" s="235"/>
      <c r="B4" s="38" t="s">
        <v>69</v>
      </c>
      <c r="C4" s="39" t="s">
        <v>70</v>
      </c>
      <c r="D4" s="40" t="s">
        <v>71</v>
      </c>
      <c r="E4" s="40" t="s">
        <v>72</v>
      </c>
      <c r="H4" s="41" t="str">
        <f>B4</f>
        <v>Decision Alternatives</v>
      </c>
      <c r="I4" s="8" t="s">
        <v>73</v>
      </c>
      <c r="J4" s="8" t="s">
        <v>74</v>
      </c>
      <c r="K4" s="8" t="s">
        <v>75</v>
      </c>
      <c r="L4" s="8" t="s">
        <v>76</v>
      </c>
      <c r="M4" s="8" t="s">
        <v>77</v>
      </c>
      <c r="N4" s="8" t="s">
        <v>78</v>
      </c>
    </row>
    <row r="5" spans="1:14">
      <c r="A5" s="235"/>
      <c r="B5" s="100" t="s">
        <v>43</v>
      </c>
      <c r="C5" s="99">
        <f>'Current operations  Pt3 '!N75</f>
        <v>86688.553741373165</v>
      </c>
      <c r="D5" s="89">
        <f>'Current operations  Pt3 '!N25</f>
        <v>111605.6559572322</v>
      </c>
      <c r="E5" s="104">
        <f>'Current operations  Pt3 '!N50</f>
        <v>99900.019571842757</v>
      </c>
      <c r="H5" s="68" t="s">
        <v>43</v>
      </c>
      <c r="I5" s="228">
        <f>MIN(C13:E13)</f>
        <v>86688.553741373165</v>
      </c>
      <c r="J5" s="228">
        <f>MAX(C20:E20)</f>
        <v>111605.6559572322</v>
      </c>
      <c r="K5" s="228">
        <f>AVERAGE(C27:E27)</f>
        <v>99398.076423482693</v>
      </c>
      <c r="L5" s="228">
        <f>MAX(C34:E34)</f>
        <v>10817.339555894505</v>
      </c>
      <c r="M5" s="30">
        <f>SUMPRODUCT(C42:E42,C43:E43)</f>
        <v>103695.82641771303</v>
      </c>
      <c r="N5" s="30">
        <f>SUMPRODUCT(C58:E58,C59:E59)</f>
        <v>4094.4223242380804</v>
      </c>
    </row>
    <row r="6" spans="1:14" ht="15" thickBot="1">
      <c r="A6" s="235"/>
      <c r="B6" s="101" t="s">
        <v>98</v>
      </c>
      <c r="C6" s="103">
        <f>'Franchise operations  Pt3'!N75</f>
        <v>72488.039999999994</v>
      </c>
      <c r="D6" s="102">
        <f>'Franchise operations  Pt3'!N25</f>
        <v>114133.08765771303</v>
      </c>
      <c r="E6" s="105">
        <f>'Franchise operations  Pt3'!N50</f>
        <v>109681.02864812223</v>
      </c>
      <c r="H6" s="68" t="s">
        <v>98</v>
      </c>
      <c r="I6" s="228">
        <f>MIN(C14:E14)</f>
        <v>72488.039999999994</v>
      </c>
      <c r="J6" s="228">
        <f>MAX(C21:E21)</f>
        <v>114133.08765771303</v>
      </c>
      <c r="K6" s="228">
        <f>AVERAGE(C28:E28)</f>
        <v>98767.385435278411</v>
      </c>
      <c r="L6" s="228">
        <f>MAX(C35:E35)</f>
        <v>14200.513741373172</v>
      </c>
      <c r="M6" s="30">
        <f>SUMPRODUCT(C42:E42,C44:E44)</f>
        <v>104691.06337377272</v>
      </c>
      <c r="N6" s="30">
        <f>SUMPRODUCT(C58:E58,C60:E60)</f>
        <v>3099.1853681783928</v>
      </c>
    </row>
    <row r="7" spans="1:14" ht="15" thickBot="1">
      <c r="B7" s="101" t="s">
        <v>126</v>
      </c>
      <c r="C7" s="103">
        <f>'Food Truck  Pt 4'!N75</f>
        <v>60155.662623357675</v>
      </c>
      <c r="D7" s="102">
        <f>'Food Truck  Pt 4'!N25</f>
        <v>109752.02197080292</v>
      </c>
      <c r="E7" s="105">
        <f>'Food Truck  Pt 4'!N50</f>
        <v>110717.35912773726</v>
      </c>
      <c r="H7" s="101" t="s">
        <v>126</v>
      </c>
      <c r="I7" s="229">
        <f>MIN(C15:E15)</f>
        <v>60155.662623357675</v>
      </c>
      <c r="J7" s="229">
        <f>MAX(C22:E22)</f>
        <v>110717.35912773726</v>
      </c>
      <c r="K7" s="229">
        <f>AVERAGE(C29:E29)</f>
        <v>93541.681240632621</v>
      </c>
      <c r="L7" s="229">
        <f>MAX(C36:E36)</f>
        <v>26532.89111801549</v>
      </c>
      <c r="M7" s="68">
        <f>SUMPRODUCT(C42:E42,C45:E45)</f>
        <v>100074.08439054745</v>
      </c>
      <c r="N7" s="68">
        <f>SUMPRODUCT(C58:E58,C61:E61)</f>
        <v>7716.1643514036577</v>
      </c>
    </row>
    <row r="9" spans="1:14" ht="15.6">
      <c r="B9" s="22" t="s">
        <v>79</v>
      </c>
      <c r="H9" s="9" t="s">
        <v>80</v>
      </c>
    </row>
    <row r="10" spans="1:14" ht="15" thickBot="1">
      <c r="B10" s="44" t="s">
        <v>73</v>
      </c>
      <c r="H10" s="45" t="str">
        <f>H5</f>
        <v>CURRENT OPERATIONS</v>
      </c>
    </row>
    <row r="11" spans="1:14" ht="15" thickBot="1">
      <c r="B11" s="36"/>
      <c r="C11" s="230" t="s">
        <v>66</v>
      </c>
      <c r="D11" s="231"/>
      <c r="E11" s="232"/>
    </row>
    <row r="12" spans="1:14" ht="15" thickBot="1">
      <c r="B12" s="38" t="s">
        <v>69</v>
      </c>
      <c r="C12" s="39" t="s">
        <v>70</v>
      </c>
      <c r="D12" s="40" t="s">
        <v>71</v>
      </c>
      <c r="E12" s="40" t="s">
        <v>72</v>
      </c>
      <c r="H12" s="147"/>
    </row>
    <row r="13" spans="1:14">
      <c r="B13" s="42" t="s">
        <v>43</v>
      </c>
      <c r="C13" s="99">
        <f t="shared" ref="C13:E15" si="0">C5</f>
        <v>86688.553741373165</v>
      </c>
      <c r="D13" s="89">
        <f t="shared" si="0"/>
        <v>111605.6559572322</v>
      </c>
      <c r="E13" s="104">
        <f t="shared" si="0"/>
        <v>99900.019571842757</v>
      </c>
      <c r="F13" s="76"/>
      <c r="H13" s="236"/>
      <c r="I13" s="236"/>
      <c r="J13" s="236"/>
      <c r="K13" s="236"/>
      <c r="L13" s="236"/>
    </row>
    <row r="14" spans="1:14" ht="15" thickBot="1">
      <c r="B14" s="43" t="s">
        <v>98</v>
      </c>
      <c r="C14" s="103">
        <f t="shared" si="0"/>
        <v>72488.039999999994</v>
      </c>
      <c r="D14" s="102">
        <f t="shared" si="0"/>
        <v>114133.08765771303</v>
      </c>
      <c r="E14" s="105">
        <f t="shared" si="0"/>
        <v>109681.02864812223</v>
      </c>
      <c r="F14" s="76"/>
      <c r="H14" s="236"/>
      <c r="I14" s="236"/>
      <c r="J14" s="236"/>
      <c r="K14" s="236"/>
      <c r="L14" s="236"/>
    </row>
    <row r="15" spans="1:14" ht="15" thickBot="1">
      <c r="B15" s="101" t="s">
        <v>126</v>
      </c>
      <c r="C15" s="103">
        <f t="shared" si="0"/>
        <v>60155.662623357675</v>
      </c>
      <c r="D15" s="102">
        <f t="shared" si="0"/>
        <v>109752.02197080292</v>
      </c>
      <c r="E15" s="105">
        <f t="shared" si="0"/>
        <v>110717.35912773726</v>
      </c>
      <c r="F15" s="76"/>
    </row>
    <row r="17" spans="2:7" ht="15" thickBot="1">
      <c r="B17" s="44" t="s">
        <v>81</v>
      </c>
    </row>
    <row r="18" spans="2:7" ht="15" thickBot="1">
      <c r="B18" s="36"/>
      <c r="C18" s="230" t="s">
        <v>66</v>
      </c>
      <c r="D18" s="231"/>
      <c r="E18" s="232"/>
    </row>
    <row r="19" spans="2:7" ht="15" thickBot="1">
      <c r="B19" s="38" t="s">
        <v>69</v>
      </c>
      <c r="C19" s="39" t="s">
        <v>70</v>
      </c>
      <c r="D19" s="40" t="s">
        <v>71</v>
      </c>
      <c r="E19" s="40" t="s">
        <v>72</v>
      </c>
    </row>
    <row r="20" spans="2:7">
      <c r="B20" s="42" t="s">
        <v>43</v>
      </c>
      <c r="C20" s="99">
        <f t="shared" ref="C20:E22" si="1">C13</f>
        <v>86688.553741373165</v>
      </c>
      <c r="D20" s="89">
        <f t="shared" si="1"/>
        <v>111605.6559572322</v>
      </c>
      <c r="E20" s="104">
        <f t="shared" si="1"/>
        <v>99900.019571842757</v>
      </c>
    </row>
    <row r="21" spans="2:7" ht="15" thickBot="1">
      <c r="B21" s="43" t="s">
        <v>98</v>
      </c>
      <c r="C21" s="103">
        <f t="shared" si="1"/>
        <v>72488.039999999994</v>
      </c>
      <c r="D21" s="102">
        <f t="shared" si="1"/>
        <v>114133.08765771303</v>
      </c>
      <c r="E21" s="105">
        <f t="shared" si="1"/>
        <v>109681.02864812223</v>
      </c>
    </row>
    <row r="22" spans="2:7" ht="15" thickBot="1">
      <c r="B22" s="101" t="s">
        <v>126</v>
      </c>
      <c r="C22" s="103">
        <f t="shared" si="1"/>
        <v>60155.662623357675</v>
      </c>
      <c r="D22" s="102">
        <f t="shared" si="1"/>
        <v>109752.02197080292</v>
      </c>
      <c r="E22" s="105">
        <f t="shared" si="1"/>
        <v>110717.35912773726</v>
      </c>
    </row>
    <row r="24" spans="2:7" ht="15" thickBot="1">
      <c r="B24" s="44" t="s">
        <v>82</v>
      </c>
    </row>
    <row r="25" spans="2:7" ht="15" thickBot="1">
      <c r="B25" s="36"/>
      <c r="C25" s="230" t="s">
        <v>66</v>
      </c>
      <c r="D25" s="231"/>
      <c r="E25" s="232"/>
    </row>
    <row r="26" spans="2:7" ht="15" thickBot="1">
      <c r="B26" s="38" t="s">
        <v>69</v>
      </c>
      <c r="C26" s="39" t="s">
        <v>70</v>
      </c>
      <c r="D26" s="40" t="s">
        <v>71</v>
      </c>
      <c r="E26" s="40" t="s">
        <v>72</v>
      </c>
    </row>
    <row r="27" spans="2:7">
      <c r="B27" s="42" t="s">
        <v>43</v>
      </c>
      <c r="C27" s="99">
        <f t="shared" ref="C27:E29" si="2">C20</f>
        <v>86688.553741373165</v>
      </c>
      <c r="D27" s="89">
        <f t="shared" si="2"/>
        <v>111605.6559572322</v>
      </c>
      <c r="E27" s="104">
        <f t="shared" si="2"/>
        <v>99900.019571842757</v>
      </c>
      <c r="F27" s="76">
        <f>AVERAGE(C27:E27)</f>
        <v>99398.076423482693</v>
      </c>
      <c r="G27" s="76">
        <f>MAX(F27:F29)</f>
        <v>99398.076423482693</v>
      </c>
    </row>
    <row r="28" spans="2:7" ht="15" thickBot="1">
      <c r="B28" s="43" t="s">
        <v>98</v>
      </c>
      <c r="C28" s="103">
        <f t="shared" si="2"/>
        <v>72488.039999999994</v>
      </c>
      <c r="D28" s="102">
        <f t="shared" si="2"/>
        <v>114133.08765771303</v>
      </c>
      <c r="E28" s="105">
        <f t="shared" si="2"/>
        <v>109681.02864812223</v>
      </c>
      <c r="F28" s="76">
        <f t="shared" ref="F28:F29" si="3">AVERAGE(C28:E28)</f>
        <v>98767.385435278411</v>
      </c>
    </row>
    <row r="29" spans="2:7" ht="15" thickBot="1">
      <c r="B29" s="101" t="s">
        <v>126</v>
      </c>
      <c r="C29" s="103">
        <f t="shared" si="2"/>
        <v>60155.662623357675</v>
      </c>
      <c r="D29" s="102">
        <f t="shared" si="2"/>
        <v>109752.02197080292</v>
      </c>
      <c r="E29" s="105">
        <f t="shared" si="2"/>
        <v>110717.35912773726</v>
      </c>
      <c r="F29" s="76">
        <f t="shared" si="3"/>
        <v>93541.681240632621</v>
      </c>
    </row>
    <row r="31" spans="2:7" ht="15" thickBot="1">
      <c r="B31" s="44" t="s">
        <v>83</v>
      </c>
    </row>
    <row r="32" spans="2:7" ht="15" thickBot="1">
      <c r="B32" s="36" t="s">
        <v>84</v>
      </c>
      <c r="C32" s="230" t="s">
        <v>66</v>
      </c>
      <c r="D32" s="231"/>
      <c r="E32" s="232"/>
    </row>
    <row r="33" spans="2:5" ht="15" thickBot="1">
      <c r="B33" s="38" t="s">
        <v>69</v>
      </c>
      <c r="C33" s="39" t="s">
        <v>70</v>
      </c>
      <c r="D33" s="40" t="s">
        <v>71</v>
      </c>
      <c r="E33" s="40" t="s">
        <v>72</v>
      </c>
    </row>
    <row r="34" spans="2:5">
      <c r="B34" s="42" t="s">
        <v>43</v>
      </c>
      <c r="C34" s="99">
        <f>MAX(C$5:C$7)-C5</f>
        <v>0</v>
      </c>
      <c r="D34" s="99">
        <f t="shared" ref="D34:E34" si="4">MAX(D$5:D$7)-D5</f>
        <v>2527.4317004808254</v>
      </c>
      <c r="E34" s="99">
        <f t="shared" si="4"/>
        <v>10817.339555894505</v>
      </c>
    </row>
    <row r="35" spans="2:5" ht="15" thickBot="1">
      <c r="B35" s="43" t="s">
        <v>98</v>
      </c>
      <c r="C35" s="99">
        <f t="shared" ref="C35:E35" si="5">MAX(C$5:C$7)-C6</f>
        <v>14200.513741373172</v>
      </c>
      <c r="D35" s="99">
        <f t="shared" si="5"/>
        <v>0</v>
      </c>
      <c r="E35" s="99">
        <f t="shared" si="5"/>
        <v>1036.3304796150333</v>
      </c>
    </row>
    <row r="36" spans="2:5" ht="15" thickBot="1">
      <c r="B36" s="101" t="s">
        <v>126</v>
      </c>
      <c r="C36" s="99">
        <f t="shared" ref="C36:E36" si="6">MAX(C$5:C$7)-C7</f>
        <v>26532.89111801549</v>
      </c>
      <c r="D36" s="99">
        <f t="shared" si="6"/>
        <v>4381.0656869101076</v>
      </c>
      <c r="E36" s="99">
        <f t="shared" si="6"/>
        <v>0</v>
      </c>
    </row>
    <row r="38" spans="2:5" ht="15.6">
      <c r="B38" s="22" t="s">
        <v>85</v>
      </c>
    </row>
    <row r="39" spans="2:5" ht="15" thickBot="1">
      <c r="B39" s="44" t="s">
        <v>77</v>
      </c>
    </row>
    <row r="40" spans="2:5" ht="15" thickBot="1">
      <c r="B40" s="36"/>
      <c r="C40" s="114" t="s">
        <v>66</v>
      </c>
      <c r="D40" s="115"/>
      <c r="E40" s="116"/>
    </row>
    <row r="41" spans="2:5">
      <c r="B41" s="46" t="s">
        <v>69</v>
      </c>
      <c r="C41" s="47" t="s">
        <v>70</v>
      </c>
      <c r="D41" s="48" t="s">
        <v>71</v>
      </c>
      <c r="E41" s="48" t="s">
        <v>72</v>
      </c>
    </row>
    <row r="42" spans="2:5">
      <c r="B42" s="49" t="s">
        <v>86</v>
      </c>
      <c r="C42" s="107">
        <f>'Financial information 1 Pt1'!B41</f>
        <v>0.2</v>
      </c>
      <c r="D42" s="106">
        <f>'Financial information 1 Pt1'!B42</f>
        <v>0.55000000000000004</v>
      </c>
      <c r="E42" s="108">
        <f>'Financial information 1 Pt1'!B43</f>
        <v>0.25</v>
      </c>
    </row>
    <row r="43" spans="2:5">
      <c r="B43" s="50" t="s">
        <v>43</v>
      </c>
      <c r="C43" s="99">
        <f>C5</f>
        <v>86688.553741373165</v>
      </c>
      <c r="D43" s="99">
        <f t="shared" ref="D43:E43" si="7">D5</f>
        <v>111605.6559572322</v>
      </c>
      <c r="E43" s="99">
        <f t="shared" si="7"/>
        <v>99900.019571842757</v>
      </c>
    </row>
    <row r="44" spans="2:5" ht="15" thickBot="1">
      <c r="B44" s="43" t="s">
        <v>98</v>
      </c>
      <c r="C44" s="99">
        <f t="shared" ref="C44:E44" si="8">C6</f>
        <v>72488.039999999994</v>
      </c>
      <c r="D44" s="99">
        <f t="shared" si="8"/>
        <v>114133.08765771303</v>
      </c>
      <c r="E44" s="99">
        <f t="shared" si="8"/>
        <v>109681.02864812223</v>
      </c>
    </row>
    <row r="45" spans="2:5" ht="15" thickBot="1">
      <c r="B45" s="101" t="s">
        <v>126</v>
      </c>
      <c r="C45" s="99">
        <f t="shared" ref="C45:E45" si="9">C7</f>
        <v>60155.662623357675</v>
      </c>
      <c r="D45" s="99">
        <f t="shared" si="9"/>
        <v>109752.02197080292</v>
      </c>
      <c r="E45" s="99">
        <f t="shared" si="9"/>
        <v>110717.35912773726</v>
      </c>
    </row>
    <row r="47" spans="2:5" ht="15" thickBot="1">
      <c r="B47" s="44" t="s">
        <v>87</v>
      </c>
    </row>
    <row r="48" spans="2:5" ht="15" thickBot="1">
      <c r="B48" s="36"/>
      <c r="C48" s="114" t="s">
        <v>66</v>
      </c>
      <c r="D48" s="115"/>
      <c r="E48" s="116"/>
    </row>
    <row r="49" spans="2:6">
      <c r="B49" s="46" t="s">
        <v>69</v>
      </c>
      <c r="C49" s="47" t="s">
        <v>70</v>
      </c>
      <c r="D49" s="48" t="s">
        <v>71</v>
      </c>
      <c r="E49" s="48" t="s">
        <v>72</v>
      </c>
      <c r="F49" s="84"/>
    </row>
    <row r="50" spans="2:6">
      <c r="B50" s="49" t="s">
        <v>86</v>
      </c>
      <c r="C50" s="107">
        <f>C42</f>
        <v>0.2</v>
      </c>
      <c r="D50" s="106">
        <f>D42</f>
        <v>0.55000000000000004</v>
      </c>
      <c r="E50" s="108">
        <f>E42</f>
        <v>0.25</v>
      </c>
      <c r="F50" s="45">
        <f>SUMPRODUCT(C50:E50,C51:E51)</f>
        <v>107790.24874195113</v>
      </c>
    </row>
    <row r="51" spans="2:6" ht="15" thickBot="1">
      <c r="B51" s="43" t="s">
        <v>111</v>
      </c>
      <c r="C51" s="103">
        <f>MAX(C43:C45)</f>
        <v>86688.553741373165</v>
      </c>
      <c r="D51" s="102">
        <f>MAX(D43:D45)</f>
        <v>114133.08765771303</v>
      </c>
      <c r="E51" s="105">
        <f>MAX(E43:E45)</f>
        <v>110717.35912773726</v>
      </c>
    </row>
    <row r="53" spans="2:6">
      <c r="B53" s="44" t="s">
        <v>88</v>
      </c>
      <c r="C53">
        <f>F50-M6</f>
        <v>3099.1853681784123</v>
      </c>
    </row>
    <row r="55" spans="2:6" ht="15" thickBot="1">
      <c r="B55" s="44" t="s">
        <v>78</v>
      </c>
    </row>
    <row r="56" spans="2:6" ht="15" thickBot="1">
      <c r="B56" s="36" t="s">
        <v>84</v>
      </c>
      <c r="C56" s="114" t="s">
        <v>66</v>
      </c>
      <c r="D56" s="115"/>
      <c r="E56" s="116"/>
    </row>
    <row r="57" spans="2:6">
      <c r="B57" s="46" t="s">
        <v>69</v>
      </c>
      <c r="C57" s="47" t="s">
        <v>70</v>
      </c>
      <c r="D57" s="48" t="s">
        <v>71</v>
      </c>
      <c r="E57" s="48" t="s">
        <v>72</v>
      </c>
    </row>
    <row r="58" spans="2:6">
      <c r="B58" s="49" t="s">
        <v>86</v>
      </c>
      <c r="C58" s="107">
        <f>C42</f>
        <v>0.2</v>
      </c>
      <c r="D58" s="106">
        <f>D42</f>
        <v>0.55000000000000004</v>
      </c>
      <c r="E58" s="108">
        <f>E42</f>
        <v>0.25</v>
      </c>
    </row>
    <row r="59" spans="2:6">
      <c r="B59" s="50" t="s">
        <v>43</v>
      </c>
      <c r="C59" s="99">
        <f>C34</f>
        <v>0</v>
      </c>
      <c r="D59" s="99">
        <f t="shared" ref="D59:E59" si="10">D34</f>
        <v>2527.4317004808254</v>
      </c>
      <c r="E59" s="99">
        <f t="shared" si="10"/>
        <v>10817.339555894505</v>
      </c>
    </row>
    <row r="60" spans="2:6" ht="15" thickBot="1">
      <c r="B60" s="43" t="s">
        <v>98</v>
      </c>
      <c r="C60" s="99">
        <f t="shared" ref="C60:E60" si="11">C35</f>
        <v>14200.513741373172</v>
      </c>
      <c r="D60" s="99">
        <f t="shared" si="11"/>
        <v>0</v>
      </c>
      <c r="E60" s="99">
        <f t="shared" si="11"/>
        <v>1036.3304796150333</v>
      </c>
    </row>
    <row r="61" spans="2:6" ht="15" thickBot="1">
      <c r="B61" s="101" t="s">
        <v>126</v>
      </c>
      <c r="C61" s="99">
        <f t="shared" ref="C61:E61" si="12">C36</f>
        <v>26532.89111801549</v>
      </c>
      <c r="D61" s="99">
        <f t="shared" si="12"/>
        <v>4381.0656869101076</v>
      </c>
      <c r="E61" s="99">
        <f t="shared" si="12"/>
        <v>0</v>
      </c>
    </row>
  </sheetData>
  <mergeCells count="8">
    <mergeCell ref="C25:E25"/>
    <mergeCell ref="C32:E32"/>
    <mergeCell ref="C1:E2"/>
    <mergeCell ref="A1:A6"/>
    <mergeCell ref="H13:L14"/>
    <mergeCell ref="C3:E3"/>
    <mergeCell ref="C11:E11"/>
    <mergeCell ref="C18:E18"/>
  </mergeCells>
  <conditionalFormatting sqref="I5:I7">
    <cfRule type="cellIs" dxfId="5" priority="6" operator="equal">
      <formula>$I$7</formula>
    </cfRule>
  </conditionalFormatting>
  <conditionalFormatting sqref="J5:J7">
    <cfRule type="cellIs" dxfId="4" priority="5" operator="equal">
      <formula>$J$7</formula>
    </cfRule>
  </conditionalFormatting>
  <conditionalFormatting sqref="K5:K7">
    <cfRule type="cellIs" dxfId="3" priority="4" operator="equal">
      <formula>$K$7</formula>
    </cfRule>
  </conditionalFormatting>
  <conditionalFormatting sqref="L5:L7">
    <cfRule type="cellIs" dxfId="2" priority="3" operator="equal">
      <formula>$L$7</formula>
    </cfRule>
  </conditionalFormatting>
  <conditionalFormatting sqref="M5:M7">
    <cfRule type="cellIs" dxfId="1" priority="2" operator="equal">
      <formula>$M$7</formula>
    </cfRule>
  </conditionalFormatting>
  <conditionalFormatting sqref="N5:N7">
    <cfRule type="cellIs" dxfId="0" priority="1" operator="equal">
      <formula>$N$7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BAEA7-E22F-47BD-8204-E6B9C1014FCA}">
  <sheetPr codeName="Sheet4"/>
  <dimension ref="A1:I62"/>
  <sheetViews>
    <sheetView topLeftCell="A5" zoomScale="85" zoomScaleNormal="85" workbookViewId="0">
      <selection activeCell="E17" sqref="E17"/>
    </sheetView>
  </sheetViews>
  <sheetFormatPr defaultColWidth="8.88671875" defaultRowHeight="14.4"/>
  <cols>
    <col min="1" max="1" width="32.88671875" style="118" customWidth="1"/>
    <col min="2" max="2" width="18" style="118" bestFit="1" customWidth="1"/>
    <col min="3" max="3" width="18.88671875" customWidth="1"/>
    <col min="4" max="4" width="14.109375" customWidth="1"/>
    <col min="5" max="5" width="23.109375" bestFit="1" customWidth="1"/>
    <col min="6" max="6" width="23.5546875" bestFit="1" customWidth="1"/>
    <col min="10" max="11" width="23.6640625" bestFit="1" customWidth="1"/>
  </cols>
  <sheetData>
    <row r="1" spans="1:9" ht="21">
      <c r="A1" s="117" t="s">
        <v>8</v>
      </c>
    </row>
    <row r="2" spans="1:9" ht="15.6">
      <c r="A2" s="10" t="s">
        <v>9</v>
      </c>
      <c r="B2" s="149"/>
      <c r="C2" s="10"/>
      <c r="D2" s="10"/>
    </row>
    <row r="3" spans="1:9" ht="15.6">
      <c r="A3" s="11" t="s">
        <v>10</v>
      </c>
      <c r="B3" s="149"/>
      <c r="C3" s="10"/>
      <c r="D3" s="10"/>
    </row>
    <row r="4" spans="1:9">
      <c r="E4" s="1"/>
      <c r="F4" s="119"/>
    </row>
    <row r="5" spans="1:9" s="118" customFormat="1" ht="15" thickBot="1">
      <c r="E5" s="182" t="s">
        <v>144</v>
      </c>
      <c r="F5" t="s">
        <v>163</v>
      </c>
      <c r="G5"/>
    </row>
    <row r="6" spans="1:9">
      <c r="A6" s="120" t="s">
        <v>118</v>
      </c>
      <c r="B6" s="121" t="s">
        <v>119</v>
      </c>
      <c r="C6" s="122" t="s">
        <v>120</v>
      </c>
      <c r="E6" s="183" t="s">
        <v>123</v>
      </c>
      <c r="F6" s="12">
        <v>5800</v>
      </c>
    </row>
    <row r="7" spans="1:9">
      <c r="A7" s="123" t="s">
        <v>13</v>
      </c>
      <c r="B7" s="150" t="s">
        <v>121</v>
      </c>
      <c r="C7" s="124">
        <v>2.99</v>
      </c>
      <c r="E7" s="183" t="s">
        <v>121</v>
      </c>
      <c r="F7" s="12">
        <v>2.99</v>
      </c>
    </row>
    <row r="8" spans="1:9">
      <c r="A8" s="123" t="s">
        <v>14</v>
      </c>
      <c r="B8" s="150" t="s">
        <v>122</v>
      </c>
      <c r="C8" s="124">
        <v>2.5</v>
      </c>
      <c r="E8" s="183" t="s">
        <v>122</v>
      </c>
      <c r="F8" s="12">
        <v>2.5</v>
      </c>
    </row>
    <row r="9" spans="1:9" ht="28.8">
      <c r="A9" s="125" t="s">
        <v>15</v>
      </c>
      <c r="B9" s="150" t="s">
        <v>133</v>
      </c>
      <c r="C9" s="14">
        <v>0.5</v>
      </c>
      <c r="E9" s="183" t="s">
        <v>134</v>
      </c>
      <c r="F9" s="12">
        <v>0.5</v>
      </c>
    </row>
    <row r="10" spans="1:9" ht="28.8">
      <c r="A10" s="125" t="s">
        <v>124</v>
      </c>
      <c r="B10" s="150" t="s">
        <v>133</v>
      </c>
      <c r="C10" s="14">
        <v>0.1</v>
      </c>
      <c r="E10" s="183" t="s">
        <v>133</v>
      </c>
      <c r="F10" s="12">
        <v>0.6</v>
      </c>
    </row>
    <row r="11" spans="1:9">
      <c r="A11" s="125" t="s">
        <v>16</v>
      </c>
      <c r="B11" s="150" t="s">
        <v>123</v>
      </c>
      <c r="C11" s="14">
        <v>300</v>
      </c>
      <c r="E11" s="183" t="s">
        <v>145</v>
      </c>
      <c r="F11" s="12">
        <v>5806.59</v>
      </c>
    </row>
    <row r="12" spans="1:9">
      <c r="A12" s="125" t="s">
        <v>17</v>
      </c>
      <c r="B12" s="150" t="s">
        <v>123</v>
      </c>
      <c r="C12" s="14">
        <v>0</v>
      </c>
    </row>
    <row r="13" spans="1:9">
      <c r="A13" s="125" t="s">
        <v>18</v>
      </c>
      <c r="B13" s="150" t="s">
        <v>123</v>
      </c>
      <c r="C13" s="14">
        <v>100</v>
      </c>
    </row>
    <row r="14" spans="1:9" ht="28.8">
      <c r="A14" s="125" t="s">
        <v>19</v>
      </c>
      <c r="B14" s="150" t="s">
        <v>134</v>
      </c>
      <c r="C14" s="14">
        <v>0.35</v>
      </c>
      <c r="H14" s="139"/>
      <c r="I14" s="139"/>
    </row>
    <row r="15" spans="1:9" ht="28.8">
      <c r="A15" s="125" t="s">
        <v>20</v>
      </c>
      <c r="B15" s="150" t="s">
        <v>134</v>
      </c>
      <c r="C15" s="14">
        <v>0.15</v>
      </c>
      <c r="H15" s="139"/>
      <c r="I15" s="139"/>
    </row>
    <row r="16" spans="1:9">
      <c r="A16" s="125" t="s">
        <v>21</v>
      </c>
      <c r="B16" s="150" t="s">
        <v>123</v>
      </c>
      <c r="C16" s="14">
        <v>2400</v>
      </c>
      <c r="H16" s="139"/>
      <c r="I16" s="139"/>
    </row>
    <row r="17" spans="1:9">
      <c r="A17" s="125" t="s">
        <v>22</v>
      </c>
      <c r="B17" s="150" t="s">
        <v>123</v>
      </c>
      <c r="C17" s="14">
        <v>1200</v>
      </c>
      <c r="E17" s="182" t="s">
        <v>144</v>
      </c>
      <c r="F17" t="s">
        <v>163</v>
      </c>
      <c r="I17" t="s">
        <v>11</v>
      </c>
    </row>
    <row r="18" spans="1:9">
      <c r="A18" s="125" t="s">
        <v>23</v>
      </c>
      <c r="B18" s="150" t="s">
        <v>123</v>
      </c>
      <c r="C18" s="14">
        <v>500</v>
      </c>
      <c r="E18" s="183" t="s">
        <v>123</v>
      </c>
      <c r="F18" s="12">
        <v>5800</v>
      </c>
    </row>
    <row r="19" spans="1:9">
      <c r="A19" s="125" t="s">
        <v>24</v>
      </c>
      <c r="B19" s="150" t="s">
        <v>123</v>
      </c>
      <c r="C19" s="14">
        <v>50</v>
      </c>
      <c r="E19" s="183" t="s">
        <v>121</v>
      </c>
      <c r="F19" s="12">
        <v>2.99</v>
      </c>
    </row>
    <row r="20" spans="1:9">
      <c r="A20" s="125" t="s">
        <v>25</v>
      </c>
      <c r="B20" s="150" t="s">
        <v>123</v>
      </c>
      <c r="C20" s="14">
        <v>25</v>
      </c>
      <c r="E20" s="183" t="s">
        <v>122</v>
      </c>
      <c r="F20" s="12">
        <v>2.5</v>
      </c>
    </row>
    <row r="21" spans="1:9">
      <c r="A21" s="15" t="s">
        <v>26</v>
      </c>
      <c r="B21" s="150" t="s">
        <v>123</v>
      </c>
      <c r="C21" s="14">
        <v>0</v>
      </c>
      <c r="E21" s="183" t="s">
        <v>134</v>
      </c>
      <c r="F21" s="12">
        <v>0.5</v>
      </c>
    </row>
    <row r="22" spans="1:9">
      <c r="A22" s="125" t="s">
        <v>27</v>
      </c>
      <c r="B22" s="150" t="s">
        <v>123</v>
      </c>
      <c r="C22" s="14">
        <v>1000</v>
      </c>
      <c r="E22" s="183" t="s">
        <v>133</v>
      </c>
      <c r="F22" s="12">
        <v>0.6</v>
      </c>
    </row>
    <row r="23" spans="1:9">
      <c r="A23" s="125" t="s">
        <v>28</v>
      </c>
      <c r="B23" s="150" t="s">
        <v>123</v>
      </c>
      <c r="C23" s="14">
        <v>25</v>
      </c>
      <c r="E23" s="183" t="s">
        <v>145</v>
      </c>
      <c r="F23" s="12">
        <v>5806.59</v>
      </c>
    </row>
    <row r="24" spans="1:9">
      <c r="A24" s="126" t="s">
        <v>29</v>
      </c>
      <c r="B24" s="150" t="s">
        <v>123</v>
      </c>
      <c r="C24" s="13">
        <v>200</v>
      </c>
    </row>
    <row r="25" spans="1:9">
      <c r="A25" s="127" t="s">
        <v>11</v>
      </c>
      <c r="C25" s="17" t="s">
        <v>11</v>
      </c>
    </row>
    <row r="26" spans="1:9">
      <c r="A26" s="128"/>
    </row>
    <row r="28" spans="1:9">
      <c r="B28" s="151"/>
      <c r="C28" s="17"/>
    </row>
    <row r="29" spans="1:9" ht="16.2" thickBot="1">
      <c r="A29" s="129" t="s">
        <v>30</v>
      </c>
      <c r="B29" s="151"/>
      <c r="C29" s="17"/>
    </row>
    <row r="30" spans="1:9" ht="21">
      <c r="A30" s="130" t="s">
        <v>112</v>
      </c>
      <c r="B30" s="152"/>
      <c r="D30" s="131"/>
    </row>
    <row r="31" spans="1:9" ht="18">
      <c r="A31" s="112" t="s">
        <v>31</v>
      </c>
      <c r="B31" s="85">
        <v>4000</v>
      </c>
    </row>
    <row r="32" spans="1:9" ht="18">
      <c r="A32" s="113" t="s">
        <v>32</v>
      </c>
      <c r="B32" s="85">
        <v>3</v>
      </c>
    </row>
    <row r="33" spans="1:7" ht="18">
      <c r="A33" s="113" t="s">
        <v>33</v>
      </c>
      <c r="B33" s="85">
        <v>1.25</v>
      </c>
    </row>
    <row r="34" spans="1:7" ht="21">
      <c r="A34" s="113" t="s">
        <v>34</v>
      </c>
      <c r="B34" s="153">
        <v>0.22</v>
      </c>
      <c r="C34" s="84"/>
      <c r="D34" s="132"/>
    </row>
    <row r="35" spans="1:7" ht="16.2" thickBot="1">
      <c r="A35" s="113" t="s">
        <v>35</v>
      </c>
      <c r="B35" s="154">
        <v>0.26</v>
      </c>
    </row>
    <row r="36" spans="1:7" ht="18" customHeight="1">
      <c r="A36" s="133" t="s">
        <v>110</v>
      </c>
      <c r="B36" s="155"/>
      <c r="C36" s="51"/>
    </row>
    <row r="37" spans="1:7">
      <c r="A37" s="134" t="s">
        <v>90</v>
      </c>
      <c r="B37" s="156">
        <v>4350</v>
      </c>
    </row>
    <row r="38" spans="1:7">
      <c r="A38" s="134" t="s">
        <v>91</v>
      </c>
      <c r="B38" s="157">
        <v>0.32</v>
      </c>
      <c r="C38" s="52"/>
      <c r="G38" s="12"/>
    </row>
    <row r="39" spans="1:7" ht="15" thickBot="1">
      <c r="A39" s="135" t="s">
        <v>92</v>
      </c>
      <c r="B39" s="154">
        <v>0.22</v>
      </c>
    </row>
    <row r="40" spans="1:7" ht="21">
      <c r="A40" s="53" t="s">
        <v>93</v>
      </c>
      <c r="B40" s="158" t="s">
        <v>114</v>
      </c>
      <c r="C40" s="138"/>
      <c r="G40" s="12"/>
    </row>
    <row r="41" spans="1:7">
      <c r="A41" s="54" t="s">
        <v>115</v>
      </c>
      <c r="B41" s="159">
        <v>0.2</v>
      </c>
      <c r="C41" s="17"/>
    </row>
    <row r="42" spans="1:7">
      <c r="A42" s="55" t="s">
        <v>36</v>
      </c>
      <c r="B42" s="159">
        <v>0.55000000000000004</v>
      </c>
      <c r="C42" s="17"/>
    </row>
    <row r="43" spans="1:7" ht="15" thickBot="1">
      <c r="A43" s="56" t="s">
        <v>116</v>
      </c>
      <c r="B43" s="160">
        <v>0.25</v>
      </c>
      <c r="C43" s="17"/>
    </row>
    <row r="44" spans="1:7">
      <c r="A44" s="127"/>
      <c r="B44" s="151"/>
      <c r="C44" s="17"/>
    </row>
    <row r="45" spans="1:7">
      <c r="A45" s="127"/>
      <c r="B45" s="151"/>
      <c r="C45" s="17"/>
    </row>
    <row r="46" spans="1:7">
      <c r="A46" s="127"/>
      <c r="B46" s="151"/>
      <c r="C46" s="17"/>
    </row>
    <row r="47" spans="1:7">
      <c r="A47" s="127"/>
      <c r="B47" s="151"/>
      <c r="C47" s="17"/>
    </row>
    <row r="48" spans="1:7">
      <c r="A48" s="18"/>
      <c r="B48" s="151"/>
      <c r="C48" s="17"/>
    </row>
    <row r="49" spans="1:3">
      <c r="A49" s="127"/>
      <c r="B49" s="151"/>
      <c r="C49" s="17"/>
    </row>
    <row r="50" spans="1:3">
      <c r="A50" s="18"/>
      <c r="B50" s="151"/>
      <c r="C50" s="17"/>
    </row>
    <row r="51" spans="1:3">
      <c r="A51" s="127"/>
      <c r="B51" s="151"/>
      <c r="C51" s="17"/>
    </row>
    <row r="52" spans="1:3">
      <c r="A52" s="127"/>
      <c r="B52" s="151"/>
      <c r="C52" s="17"/>
    </row>
    <row r="53" spans="1:3">
      <c r="A53" s="127"/>
      <c r="B53" s="151"/>
      <c r="C53" s="17"/>
    </row>
    <row r="54" spans="1:3">
      <c r="A54" s="127"/>
      <c r="B54" s="151"/>
      <c r="C54" s="17"/>
    </row>
    <row r="61" spans="1:3">
      <c r="A61" s="136" t="s">
        <v>89</v>
      </c>
    </row>
    <row r="62" spans="1:3">
      <c r="A62" s="137"/>
    </row>
  </sheetData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5AE04-4B70-4F2D-9D89-6A783BEF0080}">
  <dimension ref="A1:O75"/>
  <sheetViews>
    <sheetView tabSelected="1" topLeftCell="A33" zoomScale="63" zoomScaleNormal="63" workbookViewId="0">
      <selection activeCell="L44" sqref="L44"/>
    </sheetView>
  </sheetViews>
  <sheetFormatPr defaultColWidth="8.88671875" defaultRowHeight="14.4"/>
  <cols>
    <col min="1" max="1" width="25.109375" bestFit="1" customWidth="1"/>
    <col min="2" max="13" width="13.44140625" customWidth="1"/>
    <col min="14" max="14" width="14.44140625" bestFit="1" customWidth="1"/>
  </cols>
  <sheetData>
    <row r="1" spans="1:15">
      <c r="A1" s="29" t="s">
        <v>198</v>
      </c>
      <c r="B1" s="233" t="s">
        <v>113</v>
      </c>
      <c r="C1" s="233"/>
      <c r="D1" s="234"/>
      <c r="E1" s="68" t="s">
        <v>211</v>
      </c>
      <c r="F1" s="68"/>
      <c r="G1" s="227"/>
    </row>
    <row r="2" spans="1:15">
      <c r="A2" s="57" t="s">
        <v>210</v>
      </c>
      <c r="B2" s="233"/>
      <c r="C2" s="233"/>
      <c r="D2" s="234"/>
      <c r="E2" s="27"/>
      <c r="F2" s="27"/>
      <c r="G2" s="226"/>
    </row>
    <row r="3" spans="1:15" ht="15" thickBot="1">
      <c r="A3" s="29" t="s">
        <v>44</v>
      </c>
    </row>
    <row r="4" spans="1:15">
      <c r="A4" s="63" t="s">
        <v>7</v>
      </c>
      <c r="B4" s="61">
        <v>44927</v>
      </c>
      <c r="C4" s="61">
        <v>44958</v>
      </c>
      <c r="D4" s="61">
        <v>44986</v>
      </c>
      <c r="E4" s="61">
        <v>45017</v>
      </c>
      <c r="F4" s="61">
        <v>45047</v>
      </c>
      <c r="G4" s="61">
        <v>45078</v>
      </c>
      <c r="H4" s="61">
        <v>45108</v>
      </c>
      <c r="I4" s="61">
        <v>45139</v>
      </c>
      <c r="J4" s="61">
        <v>45170</v>
      </c>
      <c r="K4" s="61">
        <v>45200</v>
      </c>
      <c r="L4" s="61">
        <v>45231</v>
      </c>
      <c r="M4" s="61">
        <v>45261</v>
      </c>
      <c r="N4" s="70" t="s">
        <v>96</v>
      </c>
    </row>
    <row r="5" spans="1:15">
      <c r="A5" s="31" t="s">
        <v>38</v>
      </c>
      <c r="B5" s="76">
        <f>'Food Truck Demand'!B17</f>
        <v>1949.7956204379564</v>
      </c>
      <c r="C5" s="76">
        <f>'Food Truck Demand'!B18</f>
        <v>2298.6423357664235</v>
      </c>
      <c r="D5" s="76">
        <f>'Food Truck Demand'!B19</f>
        <v>2298.6423357664235</v>
      </c>
      <c r="E5" s="76">
        <f>'Food Truck Demand'!B20</f>
        <v>2647.4890510948908</v>
      </c>
      <c r="F5" s="76">
        <f>'Food Truck Demand'!B21</f>
        <v>2647.4890510948908</v>
      </c>
      <c r="G5" s="76">
        <f>'Food Truck Demand'!B22</f>
        <v>3654.3722627737225</v>
      </c>
      <c r="H5" s="76">
        <f>'Food Truck Demand'!B23</f>
        <v>3654.3722627737225</v>
      </c>
      <c r="I5" s="76">
        <f>'Food Truck Demand'!B24</f>
        <v>2647.4890510948908</v>
      </c>
      <c r="J5" s="76">
        <f>'Food Truck Demand'!B25</f>
        <v>2996.3357664233581</v>
      </c>
      <c r="K5" s="76">
        <f>'Food Truck Demand'!B26</f>
        <v>4003.2189781021898</v>
      </c>
      <c r="L5" s="76">
        <f>'Food Truck Demand'!B27</f>
        <v>4003.2189781021898</v>
      </c>
      <c r="M5" s="76">
        <f>'Food Truck Demand'!B28</f>
        <v>4352.0656934306571</v>
      </c>
      <c r="N5" s="71">
        <f>SUM(B5:M5)</f>
        <v>37153.131386861307</v>
      </c>
    </row>
    <row r="6" spans="1:15">
      <c r="A6" s="31" t="s">
        <v>45</v>
      </c>
      <c r="B6" s="76">
        <f>B5</f>
        <v>1949.7956204379564</v>
      </c>
      <c r="C6" s="76">
        <f t="shared" ref="C6:N6" si="0">C5</f>
        <v>2298.6423357664235</v>
      </c>
      <c r="D6" s="76">
        <f t="shared" si="0"/>
        <v>2298.6423357664235</v>
      </c>
      <c r="E6" s="76">
        <f t="shared" si="0"/>
        <v>2647.4890510948908</v>
      </c>
      <c r="F6" s="76">
        <f t="shared" si="0"/>
        <v>2647.4890510948908</v>
      </c>
      <c r="G6" s="76">
        <f t="shared" si="0"/>
        <v>3654.3722627737225</v>
      </c>
      <c r="H6" s="76">
        <f t="shared" si="0"/>
        <v>3654.3722627737225</v>
      </c>
      <c r="I6" s="76">
        <f t="shared" si="0"/>
        <v>2647.4890510948908</v>
      </c>
      <c r="J6" s="76">
        <f t="shared" si="0"/>
        <v>2996.3357664233581</v>
      </c>
      <c r="K6" s="76">
        <f t="shared" si="0"/>
        <v>4003.2189781021898</v>
      </c>
      <c r="L6" s="76">
        <f t="shared" si="0"/>
        <v>4003.2189781021898</v>
      </c>
      <c r="M6" s="76">
        <f t="shared" si="0"/>
        <v>4352.0656934306571</v>
      </c>
      <c r="N6" s="76">
        <f t="shared" si="0"/>
        <v>37153.131386861307</v>
      </c>
    </row>
    <row r="7" spans="1:15">
      <c r="A7" s="31" t="s">
        <v>46</v>
      </c>
      <c r="B7" s="76">
        <v>0</v>
      </c>
      <c r="C7" s="76">
        <v>0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0</v>
      </c>
      <c r="N7" s="76">
        <v>0</v>
      </c>
    </row>
    <row r="8" spans="1:15">
      <c r="A8" s="32" t="s">
        <v>47</v>
      </c>
      <c r="B8" s="76">
        <v>0</v>
      </c>
      <c r="C8" s="76">
        <v>0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</row>
    <row r="9" spans="1:15">
      <c r="A9" s="64" t="s">
        <v>48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1"/>
    </row>
    <row r="10" spans="1:15">
      <c r="A10" s="31" t="s">
        <v>49</v>
      </c>
      <c r="B10" s="78">
        <f>GETPIVOTDATA("Expense/revenue FT",'Financial information  FT'!$I$4,"Profit Model label","Rev: Coffee")*B6</f>
        <v>5829.8889051094902</v>
      </c>
      <c r="C10" s="78">
        <f>GETPIVOTDATA("Expense/revenue FT",'Financial information  FT'!$I$4,"Profit Model label","Rev: Coffee")*C6</f>
        <v>6872.9405839416067</v>
      </c>
      <c r="D10" s="78">
        <f>GETPIVOTDATA("Expense/revenue FT",'Financial information  FT'!$I$4,"Profit Model label","Rev: Coffee")*D6</f>
        <v>6872.9405839416067</v>
      </c>
      <c r="E10" s="78">
        <f>GETPIVOTDATA("Expense/revenue FT",'Financial information  FT'!$I$4,"Profit Model label","Rev: Coffee")*E6</f>
        <v>7915.9922627737242</v>
      </c>
      <c r="F10" s="78">
        <f>GETPIVOTDATA("Expense/revenue FT",'Financial information  FT'!$I$4,"Profit Model label","Rev: Coffee")*F6</f>
        <v>7915.9922627737242</v>
      </c>
      <c r="G10" s="78">
        <f>GETPIVOTDATA("Expense/revenue FT",'Financial information  FT'!$I$4,"Profit Model label","Rev: Coffee")*G6</f>
        <v>10926.57306569343</v>
      </c>
      <c r="H10" s="78">
        <f>GETPIVOTDATA("Expense/revenue FT",'Financial information  FT'!$I$4,"Profit Model label","Rev: Coffee")*H6</f>
        <v>10926.57306569343</v>
      </c>
      <c r="I10" s="78">
        <f>GETPIVOTDATA("Expense/revenue FT",'Financial information  FT'!$I$4,"Profit Model label","Rev: Coffee")*I6</f>
        <v>7915.9922627737242</v>
      </c>
      <c r="J10" s="78">
        <f>GETPIVOTDATA("Expense/revenue FT",'Financial information  FT'!$I$4,"Profit Model label","Rev: Coffee")*J6</f>
        <v>8959.0439416058416</v>
      </c>
      <c r="K10" s="78">
        <f>GETPIVOTDATA("Expense/revenue FT",'Financial information  FT'!$I$4,"Profit Model label","Rev: Coffee")*K6</f>
        <v>11969.624744525549</v>
      </c>
      <c r="L10" s="78">
        <f>GETPIVOTDATA("Expense/revenue FT",'Financial information  FT'!$I$4,"Profit Model label","Rev: Coffee")*L6</f>
        <v>11969.624744525549</v>
      </c>
      <c r="M10" s="78">
        <f>GETPIVOTDATA("Expense/revenue FT",'Financial information  FT'!$I$4,"Profit Model label","Rev: Coffee")*M6</f>
        <v>13012.676423357665</v>
      </c>
      <c r="N10" s="78">
        <f>SUM(B10:M10)</f>
        <v>111087.86284671533</v>
      </c>
      <c r="O10" s="78"/>
    </row>
    <row r="11" spans="1:15">
      <c r="A11" s="31" t="s">
        <v>50</v>
      </c>
      <c r="B11" s="76">
        <f>GETPIVOTDATA("Expense/revenue FT",'Financial information  FT'!$I$4,"Profit Model label","Rev: Donut")*B6</f>
        <v>4874.4890510948908</v>
      </c>
      <c r="C11" s="76">
        <f>GETPIVOTDATA("Expense/revenue FT",'Financial information  FT'!$I$4,"Profit Model label","Rev: Donut")*C6</f>
        <v>5746.6058394160591</v>
      </c>
      <c r="D11" s="76">
        <f>GETPIVOTDATA("Expense/revenue FT",'Financial information  FT'!$I$4,"Profit Model label","Rev: Donut")*D6</f>
        <v>5746.6058394160591</v>
      </c>
      <c r="E11" s="76">
        <f>GETPIVOTDATA("Expense/revenue FT",'Financial information  FT'!$I$4,"Profit Model label","Rev: Donut")*E6</f>
        <v>6618.7226277372265</v>
      </c>
      <c r="F11" s="76">
        <f>GETPIVOTDATA("Expense/revenue FT",'Financial information  FT'!$I$4,"Profit Model label","Rev: Donut")*F6</f>
        <v>6618.7226277372265</v>
      </c>
      <c r="G11" s="76">
        <f>GETPIVOTDATA("Expense/revenue FT",'Financial information  FT'!$I$4,"Profit Model label","Rev: Donut")*G6</f>
        <v>9135.9306569343062</v>
      </c>
      <c r="H11" s="76">
        <f>GETPIVOTDATA("Expense/revenue FT",'Financial information  FT'!$I$4,"Profit Model label","Rev: Donut")*H6</f>
        <v>9135.9306569343062</v>
      </c>
      <c r="I11" s="76">
        <f>GETPIVOTDATA("Expense/revenue FT",'Financial information  FT'!$I$4,"Profit Model label","Rev: Donut")*I6</f>
        <v>6618.7226277372265</v>
      </c>
      <c r="J11" s="76">
        <f>GETPIVOTDATA("Expense/revenue FT",'Financial information  FT'!$I$4,"Profit Model label","Rev: Donut")*J6</f>
        <v>7490.8394160583957</v>
      </c>
      <c r="K11" s="76">
        <f>GETPIVOTDATA("Expense/revenue FT",'Financial information  FT'!$I$4,"Profit Model label","Rev: Donut")*K6</f>
        <v>10008.047445255474</v>
      </c>
      <c r="L11" s="76">
        <f>GETPIVOTDATA("Expense/revenue FT",'Financial information  FT'!$I$4,"Profit Model label","Rev: Donut")*L6</f>
        <v>10008.047445255474</v>
      </c>
      <c r="M11" s="76">
        <f>GETPIVOTDATA("Expense/revenue FT",'Financial information  FT'!$I$4,"Profit Model label","Rev: Donut")*M6</f>
        <v>10880.164233576643</v>
      </c>
      <c r="N11" s="78">
        <f t="shared" ref="N11:N12" si="1">SUM(B11:M11)</f>
        <v>92882.828467153289</v>
      </c>
    </row>
    <row r="12" spans="1:15" ht="15" thickBot="1">
      <c r="A12" s="31" t="s">
        <v>51</v>
      </c>
      <c r="B12" s="79">
        <f>0</f>
        <v>0</v>
      </c>
      <c r="C12" s="79">
        <f>0</f>
        <v>0</v>
      </c>
      <c r="D12" s="79">
        <f>0</f>
        <v>0</v>
      </c>
      <c r="E12" s="79">
        <f>0</f>
        <v>0</v>
      </c>
      <c r="F12" s="79">
        <f>0</f>
        <v>0</v>
      </c>
      <c r="G12" s="79">
        <f>0</f>
        <v>0</v>
      </c>
      <c r="H12" s="79">
        <f>0</f>
        <v>0</v>
      </c>
      <c r="I12" s="79">
        <f>0</f>
        <v>0</v>
      </c>
      <c r="J12" s="79">
        <f>0</f>
        <v>0</v>
      </c>
      <c r="K12" s="79">
        <f>0</f>
        <v>0</v>
      </c>
      <c r="L12" s="79">
        <f>0</f>
        <v>0</v>
      </c>
      <c r="M12" s="79">
        <f>0</f>
        <v>0</v>
      </c>
      <c r="N12" s="78">
        <f t="shared" si="1"/>
        <v>0</v>
      </c>
    </row>
    <row r="13" spans="1:15" ht="15" thickTop="1">
      <c r="A13" s="65" t="s">
        <v>52</v>
      </c>
      <c r="B13" s="77">
        <f>SUM(B10:B12)</f>
        <v>10704.377956204382</v>
      </c>
      <c r="C13" s="77">
        <f t="shared" ref="C13:M13" si="2">SUM(C10:C12)</f>
        <v>12619.546423357666</v>
      </c>
      <c r="D13" s="77">
        <f t="shared" si="2"/>
        <v>12619.546423357666</v>
      </c>
      <c r="E13" s="77">
        <f t="shared" si="2"/>
        <v>14534.71489051095</v>
      </c>
      <c r="F13" s="77">
        <f t="shared" si="2"/>
        <v>14534.71489051095</v>
      </c>
      <c r="G13" s="77">
        <f t="shared" si="2"/>
        <v>20062.503722627735</v>
      </c>
      <c r="H13" s="77">
        <f t="shared" si="2"/>
        <v>20062.503722627735</v>
      </c>
      <c r="I13" s="77">
        <f t="shared" si="2"/>
        <v>14534.71489051095</v>
      </c>
      <c r="J13" s="77">
        <f t="shared" si="2"/>
        <v>16449.883357664236</v>
      </c>
      <c r="K13" s="77">
        <f t="shared" si="2"/>
        <v>21977.67218978102</v>
      </c>
      <c r="L13" s="77">
        <f t="shared" si="2"/>
        <v>21977.67218978102</v>
      </c>
      <c r="M13" s="77">
        <f t="shared" si="2"/>
        <v>23892.840656934306</v>
      </c>
      <c r="N13" s="73">
        <f>SUM(N10:N12)</f>
        <v>203970.69131386862</v>
      </c>
    </row>
    <row r="14" spans="1:15">
      <c r="A14" s="66" t="s">
        <v>53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1"/>
    </row>
    <row r="15" spans="1:15">
      <c r="A15" s="31" t="s">
        <v>54</v>
      </c>
      <c r="B15" s="76">
        <f>GETPIVOTDATA("Expense/revenue FT",'Financial information  FT'!$I$4,"Profit Model label","Fixed Expense")</f>
        <v>5045</v>
      </c>
      <c r="C15" s="76">
        <f>GETPIVOTDATA("Expense/revenue FT",'Financial information  FT'!$I$4,"Profit Model label","Fixed Expense")</f>
        <v>5045</v>
      </c>
      <c r="D15" s="76">
        <f>GETPIVOTDATA("Expense/revenue FT",'Financial information  FT'!$I$4,"Profit Model label","Fixed Expense")</f>
        <v>5045</v>
      </c>
      <c r="E15" s="76">
        <f>GETPIVOTDATA("Expense/revenue FT",'Financial information  FT'!$I$4,"Profit Model label","Fixed Expense")</f>
        <v>5045</v>
      </c>
      <c r="F15" s="76">
        <f>GETPIVOTDATA("Expense/revenue FT",'Financial information  FT'!$I$4,"Profit Model label","Fixed Expense")</f>
        <v>5045</v>
      </c>
      <c r="G15" s="76">
        <f>GETPIVOTDATA("Expense/revenue FT",'Financial information  FT'!$I$4,"Profit Model label","Fixed Expense")</f>
        <v>5045</v>
      </c>
      <c r="H15" s="76">
        <f>GETPIVOTDATA("Expense/revenue FT",'Financial information  FT'!$I$4,"Profit Model label","Fixed Expense")</f>
        <v>5045</v>
      </c>
      <c r="I15" s="76">
        <f>GETPIVOTDATA("Expense/revenue FT",'Financial information  FT'!$I$4,"Profit Model label","Fixed Expense")</f>
        <v>5045</v>
      </c>
      <c r="J15" s="76">
        <f>GETPIVOTDATA("Expense/revenue FT",'Financial information  FT'!$I$4,"Profit Model label","Fixed Expense")</f>
        <v>5045</v>
      </c>
      <c r="K15" s="76">
        <f>GETPIVOTDATA("Expense/revenue FT",'Financial information  FT'!$I$4,"Profit Model label","Fixed Expense")</f>
        <v>5045</v>
      </c>
      <c r="L15" s="76">
        <f>GETPIVOTDATA("Expense/revenue FT",'Financial information  FT'!$I$4,"Profit Model label","Fixed Expense")</f>
        <v>5045</v>
      </c>
      <c r="M15" s="76">
        <f>GETPIVOTDATA("Expense/revenue FT",'Financial information  FT'!$I$4,"Profit Model label","Fixed Expense")</f>
        <v>5045</v>
      </c>
      <c r="N15" s="72">
        <f>SUM(B15:M15)</f>
        <v>60540</v>
      </c>
    </row>
    <row r="16" spans="1:15">
      <c r="A16" s="59" t="s">
        <v>55</v>
      </c>
      <c r="B16" s="76">
        <f>GETPIVOTDATA("Expense/revenue FT",'Financial information  FT'!$I$4,"Profit Model label","Fixed Expense")</f>
        <v>5045</v>
      </c>
      <c r="C16" s="76">
        <f>GETPIVOTDATA("Expense/revenue FT",'Financial information  FT'!$I$4,"Profit Model label","Fixed Expense")</f>
        <v>5045</v>
      </c>
      <c r="D16" s="76">
        <f>GETPIVOTDATA("Expense/revenue FT",'Financial information  FT'!$I$4,"Profit Model label","Fixed Expense")</f>
        <v>5045</v>
      </c>
      <c r="E16" s="76">
        <f>GETPIVOTDATA("Expense/revenue FT",'Financial information  FT'!$I$4,"Profit Model label","Fixed Expense")</f>
        <v>5045</v>
      </c>
      <c r="F16" s="76">
        <f>GETPIVOTDATA("Expense/revenue FT",'Financial information  FT'!$I$4,"Profit Model label","Fixed Expense")</f>
        <v>5045</v>
      </c>
      <c r="G16" s="76">
        <f>GETPIVOTDATA("Expense/revenue FT",'Financial information  FT'!$I$4,"Profit Model label","Fixed Expense")</f>
        <v>5045</v>
      </c>
      <c r="H16" s="76">
        <f>GETPIVOTDATA("Expense/revenue FT",'Financial information  FT'!$I$4,"Profit Model label","Fixed Expense")</f>
        <v>5045</v>
      </c>
      <c r="I16" s="76">
        <f>GETPIVOTDATA("Expense/revenue FT",'Financial information  FT'!$I$4,"Profit Model label","Fixed Expense")</f>
        <v>5045</v>
      </c>
      <c r="J16" s="76">
        <f>GETPIVOTDATA("Expense/revenue FT",'Financial information  FT'!$I$4,"Profit Model label","Fixed Expense")</f>
        <v>5045</v>
      </c>
      <c r="K16" s="76">
        <f>GETPIVOTDATA("Expense/revenue FT",'Financial information  FT'!$I$4,"Profit Model label","Fixed Expense")</f>
        <v>5045</v>
      </c>
      <c r="L16" s="76">
        <f>GETPIVOTDATA("Expense/revenue FT",'Financial information  FT'!$I$4,"Profit Model label","Fixed Expense")</f>
        <v>5045</v>
      </c>
      <c r="M16" s="76">
        <f>GETPIVOTDATA("Expense/revenue FT",'Financial information  FT'!$I$4,"Profit Model label","Fixed Expense")</f>
        <v>5045</v>
      </c>
      <c r="N16" s="72">
        <f>SUM(B16:M16)</f>
        <v>60540</v>
      </c>
    </row>
    <row r="17" spans="1:14">
      <c r="A17" s="31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2"/>
    </row>
    <row r="18" spans="1:14">
      <c r="A18" s="31" t="s">
        <v>56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2"/>
    </row>
    <row r="19" spans="1:14">
      <c r="A19" s="31" t="s">
        <v>57</v>
      </c>
      <c r="B19" s="76">
        <f>GETPIVOTDATA("Expense/revenue FT",'Financial information  FT'!$I$4,"Profit Model label","Variable  Expense coffee")*B6</f>
        <v>974.89781021897818</v>
      </c>
      <c r="C19" s="76">
        <f>GETPIVOTDATA("Expense/revenue FT",'Financial information  FT'!$I$4,"Profit Model label","Variable  Expense coffee")*C6</f>
        <v>1149.3211678832117</v>
      </c>
      <c r="D19" s="76">
        <f>GETPIVOTDATA("Expense/revenue FT",'Financial information  FT'!$I$4,"Profit Model label","Variable  Expense coffee")*D6</f>
        <v>1149.3211678832117</v>
      </c>
      <c r="E19" s="76">
        <f>GETPIVOTDATA("Expense/revenue FT",'Financial information  FT'!$I$4,"Profit Model label","Variable  Expense coffee")*E6</f>
        <v>1323.7445255474454</v>
      </c>
      <c r="F19" s="76">
        <f>GETPIVOTDATA("Expense/revenue FT",'Financial information  FT'!$I$4,"Profit Model label","Variable  Expense coffee")*F6</f>
        <v>1323.7445255474454</v>
      </c>
      <c r="G19" s="76">
        <f>GETPIVOTDATA("Expense/revenue FT",'Financial information  FT'!$I$4,"Profit Model label","Variable  Expense coffee")*G6</f>
        <v>1827.1861313868612</v>
      </c>
      <c r="H19" s="76">
        <f>GETPIVOTDATA("Expense/revenue FT",'Financial information  FT'!$I$4,"Profit Model label","Variable  Expense coffee")*H6</f>
        <v>1827.1861313868612</v>
      </c>
      <c r="I19" s="76">
        <f>GETPIVOTDATA("Expense/revenue FT",'Financial information  FT'!$I$4,"Profit Model label","Variable  Expense coffee")*I6</f>
        <v>1323.7445255474454</v>
      </c>
      <c r="J19" s="76">
        <f>GETPIVOTDATA("Expense/revenue FT",'Financial information  FT'!$I$4,"Profit Model label","Variable  Expense coffee")*J6</f>
        <v>1498.1678832116791</v>
      </c>
      <c r="K19" s="76">
        <f>GETPIVOTDATA("Expense/revenue FT",'Financial information  FT'!$I$4,"Profit Model label","Variable  Expense coffee")*K6</f>
        <v>2001.6094890510949</v>
      </c>
      <c r="L19" s="76">
        <f>GETPIVOTDATA("Expense/revenue FT",'Financial information  FT'!$I$4,"Profit Model label","Variable  Expense coffee")*L6</f>
        <v>2001.6094890510949</v>
      </c>
      <c r="M19" s="76">
        <f>GETPIVOTDATA("Expense/revenue FT",'Financial information  FT'!$I$4,"Profit Model label","Variable  Expense coffee")*M6</f>
        <v>2176.0328467153286</v>
      </c>
      <c r="N19" s="72">
        <f>SUM(B19:M19)</f>
        <v>18576.565693430653</v>
      </c>
    </row>
    <row r="20" spans="1:14">
      <c r="A20" s="31" t="s">
        <v>58</v>
      </c>
      <c r="B20" s="76">
        <f>GETPIVOTDATA("Expense/revenue FT",'Financial information  FT'!$I$4,"Profit Model label","Variable  Expense donut")*B6</f>
        <v>1169.8773722627739</v>
      </c>
      <c r="C20" s="76">
        <f>GETPIVOTDATA("Expense/revenue FT",'Financial information  FT'!$I$4,"Profit Model label","Variable  Expense donut")*C6</f>
        <v>1379.1854014598541</v>
      </c>
      <c r="D20" s="76">
        <f>GETPIVOTDATA("Expense/revenue FT",'Financial information  FT'!$I$4,"Profit Model label","Variable  Expense donut")*D6</f>
        <v>1379.1854014598541</v>
      </c>
      <c r="E20" s="76">
        <f>GETPIVOTDATA("Expense/revenue FT",'Financial information  FT'!$I$4,"Profit Model label","Variable  Expense donut")*E6</f>
        <v>1588.4934306569344</v>
      </c>
      <c r="F20" s="76">
        <f>GETPIVOTDATA("Expense/revenue FT",'Financial information  FT'!$I$4,"Profit Model label","Variable  Expense donut")*F6</f>
        <v>1588.4934306569344</v>
      </c>
      <c r="G20" s="76">
        <f>GETPIVOTDATA("Expense/revenue FT",'Financial information  FT'!$I$4,"Profit Model label","Variable  Expense donut")*G6</f>
        <v>2192.6233576642335</v>
      </c>
      <c r="H20" s="76">
        <f>GETPIVOTDATA("Expense/revenue FT",'Financial information  FT'!$I$4,"Profit Model label","Variable  Expense donut")*H6</f>
        <v>2192.6233576642335</v>
      </c>
      <c r="I20" s="76">
        <f>GETPIVOTDATA("Expense/revenue FT",'Financial information  FT'!$I$4,"Profit Model label","Variable  Expense donut")*I6</f>
        <v>1588.4934306569344</v>
      </c>
      <c r="J20" s="76">
        <f>GETPIVOTDATA("Expense/revenue FT",'Financial information  FT'!$I$4,"Profit Model label","Variable  Expense donut")*J6</f>
        <v>1797.8014598540149</v>
      </c>
      <c r="K20" s="76">
        <f>GETPIVOTDATA("Expense/revenue FT",'Financial information  FT'!$I$4,"Profit Model label","Variable  Expense donut")*K6</f>
        <v>2401.931386861314</v>
      </c>
      <c r="L20" s="76">
        <f>GETPIVOTDATA("Expense/revenue FT",'Financial information  FT'!$I$4,"Profit Model label","Variable  Expense donut")*L6</f>
        <v>2401.931386861314</v>
      </c>
      <c r="M20" s="76">
        <f>GETPIVOTDATA("Expense/revenue FT",'Financial information  FT'!$I$4,"Profit Model label","Variable  Expense donut")*M6</f>
        <v>2611.239416058394</v>
      </c>
      <c r="N20" s="72">
        <f t="shared" ref="N20:N21" si="3">SUM(B20:M20)</f>
        <v>22291.878832116785</v>
      </c>
    </row>
    <row r="21" spans="1:14">
      <c r="A21" s="59" t="s">
        <v>59</v>
      </c>
      <c r="B21" s="80">
        <f>SUM(B19:B20)</f>
        <v>2144.7751824817519</v>
      </c>
      <c r="C21" s="80">
        <f t="shared" ref="C21:M21" si="4">SUM(C19:C20)</f>
        <v>2528.5065693430661</v>
      </c>
      <c r="D21" s="80">
        <f t="shared" si="4"/>
        <v>2528.5065693430661</v>
      </c>
      <c r="E21" s="80">
        <f t="shared" si="4"/>
        <v>2912.2379562043798</v>
      </c>
      <c r="F21" s="80">
        <f t="shared" si="4"/>
        <v>2912.2379562043798</v>
      </c>
      <c r="G21" s="80">
        <f t="shared" si="4"/>
        <v>4019.8094890510947</v>
      </c>
      <c r="H21" s="80">
        <f t="shared" si="4"/>
        <v>4019.8094890510947</v>
      </c>
      <c r="I21" s="80">
        <f t="shared" si="4"/>
        <v>2912.2379562043798</v>
      </c>
      <c r="J21" s="80">
        <f t="shared" si="4"/>
        <v>3295.9693430656939</v>
      </c>
      <c r="K21" s="80">
        <f t="shared" si="4"/>
        <v>4403.5408759124093</v>
      </c>
      <c r="L21" s="80">
        <f t="shared" si="4"/>
        <v>4403.5408759124093</v>
      </c>
      <c r="M21" s="80">
        <f t="shared" si="4"/>
        <v>4787.2722627737221</v>
      </c>
      <c r="N21" s="72">
        <f t="shared" si="3"/>
        <v>40868.444525547449</v>
      </c>
    </row>
    <row r="22" spans="1:14" ht="15" thickBot="1">
      <c r="A22" s="31" t="s">
        <v>60</v>
      </c>
      <c r="B22" s="81">
        <f>0</f>
        <v>0</v>
      </c>
      <c r="C22" s="81">
        <f>0</f>
        <v>0</v>
      </c>
      <c r="D22" s="81">
        <f>0</f>
        <v>0</v>
      </c>
      <c r="E22" s="81">
        <f>0</f>
        <v>0</v>
      </c>
      <c r="F22" s="81">
        <f>0</f>
        <v>0</v>
      </c>
      <c r="G22" s="81">
        <f>0</f>
        <v>0</v>
      </c>
      <c r="H22" s="81">
        <f>0</f>
        <v>0</v>
      </c>
      <c r="I22" s="81">
        <f>0</f>
        <v>0</v>
      </c>
      <c r="J22" s="81">
        <f>0</f>
        <v>0</v>
      </c>
      <c r="K22" s="81">
        <f>0</f>
        <v>0</v>
      </c>
      <c r="L22" s="81">
        <f>0</f>
        <v>0</v>
      </c>
      <c r="M22" s="81">
        <f>0</f>
        <v>0</v>
      </c>
      <c r="N22" s="74">
        <f>0</f>
        <v>0</v>
      </c>
    </row>
    <row r="23" spans="1:14" ht="15" thickTop="1">
      <c r="A23" s="65" t="s">
        <v>61</v>
      </c>
      <c r="B23" s="77"/>
      <c r="C23" s="77">
        <f t="shared" ref="C23:M23" si="5">C16+C21+C22</f>
        <v>7573.5065693430661</v>
      </c>
      <c r="D23" s="77">
        <f t="shared" si="5"/>
        <v>7573.5065693430661</v>
      </c>
      <c r="E23" s="77">
        <f t="shared" si="5"/>
        <v>7957.2379562043798</v>
      </c>
      <c r="F23" s="77">
        <f t="shared" si="5"/>
        <v>7957.2379562043798</v>
      </c>
      <c r="G23" s="77">
        <f t="shared" si="5"/>
        <v>9064.8094890510947</v>
      </c>
      <c r="H23" s="77">
        <f t="shared" si="5"/>
        <v>9064.8094890510947</v>
      </c>
      <c r="I23" s="77">
        <f t="shared" si="5"/>
        <v>7957.2379562043798</v>
      </c>
      <c r="J23" s="77">
        <f t="shared" si="5"/>
        <v>8340.9693430656935</v>
      </c>
      <c r="K23" s="77">
        <f t="shared" si="5"/>
        <v>9448.5408759124093</v>
      </c>
      <c r="L23" s="77">
        <f t="shared" si="5"/>
        <v>9448.5408759124093</v>
      </c>
      <c r="M23" s="77">
        <f t="shared" si="5"/>
        <v>9832.2722627737221</v>
      </c>
      <c r="N23" s="72">
        <f>SUM(B23:M23)</f>
        <v>94218.669343065703</v>
      </c>
    </row>
    <row r="24" spans="1:14" ht="15" thickBot="1">
      <c r="A24" s="31"/>
      <c r="B24" s="83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109"/>
    </row>
    <row r="25" spans="1:14" ht="15.6" thickTop="1" thickBot="1">
      <c r="A25" s="67" t="s">
        <v>62</v>
      </c>
      <c r="B25" s="76">
        <f>B13-B23</f>
        <v>10704.377956204382</v>
      </c>
      <c r="C25" s="76">
        <f t="shared" ref="C25:M25" si="6">C13-C23</f>
        <v>5046.0398540145998</v>
      </c>
      <c r="D25" s="76">
        <f t="shared" si="6"/>
        <v>5046.0398540145998</v>
      </c>
      <c r="E25" s="76">
        <f t="shared" si="6"/>
        <v>6577.47693430657</v>
      </c>
      <c r="F25" s="76">
        <f t="shared" si="6"/>
        <v>6577.47693430657</v>
      </c>
      <c r="G25" s="76">
        <f t="shared" si="6"/>
        <v>10997.69423357664</v>
      </c>
      <c r="H25" s="76">
        <f t="shared" si="6"/>
        <v>10997.69423357664</v>
      </c>
      <c r="I25" s="76">
        <f t="shared" si="6"/>
        <v>6577.47693430657</v>
      </c>
      <c r="J25" s="76">
        <f t="shared" si="6"/>
        <v>8108.9140145985421</v>
      </c>
      <c r="K25" s="76">
        <f t="shared" si="6"/>
        <v>12529.131313868611</v>
      </c>
      <c r="L25" s="76">
        <f t="shared" si="6"/>
        <v>12529.131313868611</v>
      </c>
      <c r="M25" s="76">
        <f t="shared" si="6"/>
        <v>14060.568394160584</v>
      </c>
      <c r="N25" s="75">
        <f>SUM(B25:M25)</f>
        <v>109752.02197080292</v>
      </c>
    </row>
    <row r="27" spans="1:14">
      <c r="A27" s="57"/>
      <c r="B27" t="s">
        <v>97</v>
      </c>
    </row>
    <row r="28" spans="1:14" ht="15" thickBot="1">
      <c r="A28" s="29" t="s">
        <v>63</v>
      </c>
    </row>
    <row r="29" spans="1:14">
      <c r="A29" s="63" t="s">
        <v>7</v>
      </c>
      <c r="B29" s="61">
        <f t="shared" ref="B29:M29" si="7">B4</f>
        <v>44927</v>
      </c>
      <c r="C29" s="61">
        <f t="shared" si="7"/>
        <v>44958</v>
      </c>
      <c r="D29" s="61">
        <f t="shared" si="7"/>
        <v>44986</v>
      </c>
      <c r="E29" s="61">
        <f t="shared" si="7"/>
        <v>45017</v>
      </c>
      <c r="F29" s="61">
        <f t="shared" si="7"/>
        <v>45047</v>
      </c>
      <c r="G29" s="61">
        <f t="shared" si="7"/>
        <v>45078</v>
      </c>
      <c r="H29" s="61">
        <f t="shared" si="7"/>
        <v>45108</v>
      </c>
      <c r="I29" s="61">
        <f t="shared" si="7"/>
        <v>45139</v>
      </c>
      <c r="J29" s="61">
        <f t="shared" si="7"/>
        <v>45170</v>
      </c>
      <c r="K29" s="61">
        <f t="shared" si="7"/>
        <v>45200</v>
      </c>
      <c r="L29" s="61">
        <f t="shared" si="7"/>
        <v>45231</v>
      </c>
      <c r="M29" s="61">
        <f t="shared" si="7"/>
        <v>45261</v>
      </c>
      <c r="N29" s="70" t="s">
        <v>96</v>
      </c>
    </row>
    <row r="30" spans="1:14">
      <c r="A30" s="31" t="s">
        <v>38</v>
      </c>
      <c r="B30" s="76">
        <f>B5*(1+'Financial information  FT'!$B$35)</f>
        <v>2047.2854014598543</v>
      </c>
      <c r="C30" s="76">
        <f>C5*(1+'Financial information  FT'!$B$35)</f>
        <v>2413.5744525547448</v>
      </c>
      <c r="D30" s="76">
        <f>D5*(1+'Financial information  FT'!$B$35)</f>
        <v>2413.5744525547448</v>
      </c>
      <c r="E30" s="76">
        <f>E5*(1+'Financial information  FT'!$B$35)</f>
        <v>2779.8635036496353</v>
      </c>
      <c r="F30" s="76">
        <f>F5*(1+'Financial information  FT'!$B$35)</f>
        <v>2779.8635036496353</v>
      </c>
      <c r="G30" s="76">
        <f>G5*(1+'Financial information  FT'!$B$35)</f>
        <v>3837.0908759124086</v>
      </c>
      <c r="H30" s="76">
        <f>H5*(1+'Financial information  FT'!$B$35)</f>
        <v>3837.0908759124086</v>
      </c>
      <c r="I30" s="76">
        <f>I5*(1+'Financial information  FT'!$B$35)</f>
        <v>2779.8635036496353</v>
      </c>
      <c r="J30" s="76">
        <f>J5*(1+'Financial information  FT'!$B$35)</f>
        <v>3146.1525547445262</v>
      </c>
      <c r="K30" s="76">
        <f>K5*(1+'Financial information  FT'!$B$35)</f>
        <v>4203.3799270072996</v>
      </c>
      <c r="L30" s="76">
        <f>L5*(1+'Financial information  FT'!$B$35)</f>
        <v>4203.3799270072996</v>
      </c>
      <c r="M30" s="76">
        <f>M5*(1+'Financial information  FT'!$B$35)</f>
        <v>4569.6689781021905</v>
      </c>
      <c r="N30" s="71">
        <f>SUM(B30:M30)</f>
        <v>39010.787956204389</v>
      </c>
    </row>
    <row r="31" spans="1:14">
      <c r="A31" s="31" t="s">
        <v>45</v>
      </c>
      <c r="B31" s="76">
        <f>B30</f>
        <v>2047.2854014598543</v>
      </c>
      <c r="C31" s="76">
        <f t="shared" ref="C31:M31" si="8">C30</f>
        <v>2413.5744525547448</v>
      </c>
      <c r="D31" s="76">
        <f t="shared" si="8"/>
        <v>2413.5744525547448</v>
      </c>
      <c r="E31" s="76">
        <f t="shared" si="8"/>
        <v>2779.8635036496353</v>
      </c>
      <c r="F31" s="76">
        <f t="shared" si="8"/>
        <v>2779.8635036496353</v>
      </c>
      <c r="G31" s="76">
        <f t="shared" si="8"/>
        <v>3837.0908759124086</v>
      </c>
      <c r="H31" s="76">
        <f t="shared" si="8"/>
        <v>3837.0908759124086</v>
      </c>
      <c r="I31" s="76">
        <f t="shared" si="8"/>
        <v>2779.8635036496353</v>
      </c>
      <c r="J31" s="76">
        <f t="shared" si="8"/>
        <v>3146.1525547445262</v>
      </c>
      <c r="K31" s="76">
        <f t="shared" si="8"/>
        <v>4203.3799270072996</v>
      </c>
      <c r="L31" s="76">
        <f t="shared" si="8"/>
        <v>4203.3799270072996</v>
      </c>
      <c r="M31" s="76">
        <f t="shared" si="8"/>
        <v>4569.6689781021905</v>
      </c>
      <c r="N31" s="71">
        <f t="shared" ref="N31:N41" si="9">SUM(B31:M31)</f>
        <v>39010.787956204389</v>
      </c>
    </row>
    <row r="32" spans="1:14">
      <c r="A32" s="31" t="s">
        <v>46</v>
      </c>
      <c r="B32" s="76">
        <f>IF(B30&lt;$E$2,$E$2-B30,0)</f>
        <v>0</v>
      </c>
      <c r="C32" s="76">
        <f t="shared" ref="C32:M32" si="10">IF(C30&lt;$E$2,$E$2-C30,0)</f>
        <v>0</v>
      </c>
      <c r="D32" s="76">
        <f t="shared" si="10"/>
        <v>0</v>
      </c>
      <c r="E32" s="76">
        <f t="shared" si="10"/>
        <v>0</v>
      </c>
      <c r="F32" s="76">
        <f t="shared" si="10"/>
        <v>0</v>
      </c>
      <c r="G32" s="76">
        <f t="shared" si="10"/>
        <v>0</v>
      </c>
      <c r="H32" s="76">
        <f t="shared" si="10"/>
        <v>0</v>
      </c>
      <c r="I32" s="76">
        <f t="shared" si="10"/>
        <v>0</v>
      </c>
      <c r="J32" s="76">
        <f t="shared" si="10"/>
        <v>0</v>
      </c>
      <c r="K32" s="76">
        <f t="shared" si="10"/>
        <v>0</v>
      </c>
      <c r="L32" s="76">
        <f t="shared" si="10"/>
        <v>0</v>
      </c>
      <c r="M32" s="76">
        <f t="shared" si="10"/>
        <v>0</v>
      </c>
      <c r="N32" s="71">
        <f t="shared" si="9"/>
        <v>0</v>
      </c>
    </row>
    <row r="33" spans="1:14">
      <c r="A33" s="32" t="s">
        <v>47</v>
      </c>
      <c r="B33" s="76">
        <f>0</f>
        <v>0</v>
      </c>
      <c r="C33" s="76">
        <f>0</f>
        <v>0</v>
      </c>
      <c r="D33" s="76">
        <f>0</f>
        <v>0</v>
      </c>
      <c r="E33" s="76">
        <f>0</f>
        <v>0</v>
      </c>
      <c r="F33" s="76">
        <f>0</f>
        <v>0</v>
      </c>
      <c r="G33" s="76">
        <f>0</f>
        <v>0</v>
      </c>
      <c r="H33" s="76">
        <f>0</f>
        <v>0</v>
      </c>
      <c r="I33" s="76">
        <f>0</f>
        <v>0</v>
      </c>
      <c r="J33" s="76">
        <f>0</f>
        <v>0</v>
      </c>
      <c r="K33" s="76">
        <f>0</f>
        <v>0</v>
      </c>
      <c r="L33" s="76">
        <f>0</f>
        <v>0</v>
      </c>
      <c r="M33" s="76">
        <f>0</f>
        <v>0</v>
      </c>
      <c r="N33" s="71">
        <f t="shared" si="9"/>
        <v>0</v>
      </c>
    </row>
    <row r="34" spans="1:14">
      <c r="A34" s="64" t="s">
        <v>48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1"/>
    </row>
    <row r="35" spans="1:14">
      <c r="A35" s="31" t="s">
        <v>49</v>
      </c>
      <c r="B35" s="76">
        <f>B31*GETPIVOTDATA("Expense/revenue FT",'Financial information  FT'!$I$4,"Profit Model label","Rev: Coffee")</f>
        <v>6121.3833503649648</v>
      </c>
      <c r="C35" s="76">
        <f>C31*GETPIVOTDATA("Expense/revenue FT",'Financial information  FT'!$I$4,"Profit Model label","Rev: Coffee")</f>
        <v>7216.5876131386876</v>
      </c>
      <c r="D35" s="76">
        <f>D31*GETPIVOTDATA("Expense/revenue FT",'Financial information  FT'!$I$4,"Profit Model label","Rev: Coffee")</f>
        <v>7216.5876131386876</v>
      </c>
      <c r="E35" s="76">
        <f>E31*GETPIVOTDATA("Expense/revenue FT",'Financial information  FT'!$I$4,"Profit Model label","Rev: Coffee")</f>
        <v>8311.7918759124095</v>
      </c>
      <c r="F35" s="76">
        <f>F31*GETPIVOTDATA("Expense/revenue FT",'Financial information  FT'!$I$4,"Profit Model label","Rev: Coffee")</f>
        <v>8311.7918759124095</v>
      </c>
      <c r="G35" s="76">
        <f>G31*GETPIVOTDATA("Expense/revenue FT",'Financial information  FT'!$I$4,"Profit Model label","Rev: Coffee")</f>
        <v>11472.901718978103</v>
      </c>
      <c r="H35" s="76">
        <f>H31*GETPIVOTDATA("Expense/revenue FT",'Financial information  FT'!$I$4,"Profit Model label","Rev: Coffee")</f>
        <v>11472.901718978103</v>
      </c>
      <c r="I35" s="76">
        <f>I31*GETPIVOTDATA("Expense/revenue FT",'Financial information  FT'!$I$4,"Profit Model label","Rev: Coffee")</f>
        <v>8311.7918759124095</v>
      </c>
      <c r="J35" s="76">
        <f>J31*GETPIVOTDATA("Expense/revenue FT",'Financial information  FT'!$I$4,"Profit Model label","Rev: Coffee")</f>
        <v>9406.9961386861341</v>
      </c>
      <c r="K35" s="76">
        <f>K31*GETPIVOTDATA("Expense/revenue FT",'Financial information  FT'!$I$4,"Profit Model label","Rev: Coffee")</f>
        <v>12568.105981751827</v>
      </c>
      <c r="L35" s="76">
        <f>L31*GETPIVOTDATA("Expense/revenue FT",'Financial information  FT'!$I$4,"Profit Model label","Rev: Coffee")</f>
        <v>12568.105981751827</v>
      </c>
      <c r="M35" s="76">
        <f>M31*GETPIVOTDATA("Expense/revenue FT",'Financial information  FT'!$I$4,"Profit Model label","Rev: Coffee")</f>
        <v>13663.31024452555</v>
      </c>
      <c r="N35" s="71">
        <f t="shared" si="9"/>
        <v>116642.2559890511</v>
      </c>
    </row>
    <row r="36" spans="1:14">
      <c r="A36" s="31" t="s">
        <v>50</v>
      </c>
      <c r="B36" s="76">
        <f>B31*GETPIVOTDATA("Expense/revenue FT",'Financial information  FT'!$I$4,"Profit Model label","Rev: Donut")</f>
        <v>5118.2135036496356</v>
      </c>
      <c r="C36" s="76">
        <f>C31*GETPIVOTDATA("Expense/revenue FT",'Financial information  FT'!$I$4,"Profit Model label","Rev: Donut")</f>
        <v>6033.9361313868621</v>
      </c>
      <c r="D36" s="76">
        <f>D31*GETPIVOTDATA("Expense/revenue FT",'Financial information  FT'!$I$4,"Profit Model label","Rev: Donut")</f>
        <v>6033.9361313868621</v>
      </c>
      <c r="E36" s="76">
        <f>E31*GETPIVOTDATA("Expense/revenue FT",'Financial information  FT'!$I$4,"Profit Model label","Rev: Donut")</f>
        <v>6949.6587591240877</v>
      </c>
      <c r="F36" s="76">
        <f>F31*GETPIVOTDATA("Expense/revenue FT",'Financial information  FT'!$I$4,"Profit Model label","Rev: Donut")</f>
        <v>6949.6587591240877</v>
      </c>
      <c r="G36" s="76">
        <f>G31*GETPIVOTDATA("Expense/revenue FT",'Financial information  FT'!$I$4,"Profit Model label","Rev: Donut")</f>
        <v>9592.7271897810206</v>
      </c>
      <c r="H36" s="76">
        <f>H31*GETPIVOTDATA("Expense/revenue FT",'Financial information  FT'!$I$4,"Profit Model label","Rev: Donut")</f>
        <v>9592.7271897810206</v>
      </c>
      <c r="I36" s="76">
        <f>I31*GETPIVOTDATA("Expense/revenue FT",'Financial information  FT'!$I$4,"Profit Model label","Rev: Donut")</f>
        <v>6949.6587591240877</v>
      </c>
      <c r="J36" s="76">
        <f>J31*GETPIVOTDATA("Expense/revenue FT",'Financial information  FT'!$I$4,"Profit Model label","Rev: Donut")</f>
        <v>7865.3813868613161</v>
      </c>
      <c r="K36" s="76">
        <f>K31*GETPIVOTDATA("Expense/revenue FT",'Financial information  FT'!$I$4,"Profit Model label","Rev: Donut")</f>
        <v>10508.449817518249</v>
      </c>
      <c r="L36" s="76">
        <f>L31*GETPIVOTDATA("Expense/revenue FT",'Financial information  FT'!$I$4,"Profit Model label","Rev: Donut")</f>
        <v>10508.449817518249</v>
      </c>
      <c r="M36" s="76">
        <f>M31*GETPIVOTDATA("Expense/revenue FT",'Financial information  FT'!$I$4,"Profit Model label","Rev: Donut")</f>
        <v>11424.172445255477</v>
      </c>
      <c r="N36" s="71">
        <f t="shared" si="9"/>
        <v>97526.969890510954</v>
      </c>
    </row>
    <row r="37" spans="1:14" ht="15" thickBot="1">
      <c r="A37" s="31" t="s">
        <v>51</v>
      </c>
      <c r="B37" s="79">
        <f>B32*$G$2</f>
        <v>0</v>
      </c>
      <c r="C37" s="79">
        <f t="shared" ref="C37:M37" si="11">C32*$G$2</f>
        <v>0</v>
      </c>
      <c r="D37" s="79">
        <f t="shared" si="11"/>
        <v>0</v>
      </c>
      <c r="E37" s="79">
        <f t="shared" si="11"/>
        <v>0</v>
      </c>
      <c r="F37" s="79">
        <f t="shared" si="11"/>
        <v>0</v>
      </c>
      <c r="G37" s="79">
        <f t="shared" si="11"/>
        <v>0</v>
      </c>
      <c r="H37" s="79">
        <f t="shared" si="11"/>
        <v>0</v>
      </c>
      <c r="I37" s="79">
        <f t="shared" si="11"/>
        <v>0</v>
      </c>
      <c r="J37" s="79">
        <f t="shared" si="11"/>
        <v>0</v>
      </c>
      <c r="K37" s="79">
        <f t="shared" si="11"/>
        <v>0</v>
      </c>
      <c r="L37" s="79">
        <f t="shared" si="11"/>
        <v>0</v>
      </c>
      <c r="M37" s="79">
        <f t="shared" si="11"/>
        <v>0</v>
      </c>
      <c r="N37" s="71">
        <f t="shared" si="9"/>
        <v>0</v>
      </c>
    </row>
    <row r="38" spans="1:14" ht="15" thickTop="1">
      <c r="A38" s="65" t="s">
        <v>52</v>
      </c>
      <c r="B38" s="77">
        <f>SUM(B35:B37)</f>
        <v>11239.5968540146</v>
      </c>
      <c r="C38" s="77">
        <f t="shared" ref="C38:M38" si="12">SUM(C35:C37)</f>
        <v>13250.52374452555</v>
      </c>
      <c r="D38" s="77">
        <f t="shared" si="12"/>
        <v>13250.52374452555</v>
      </c>
      <c r="E38" s="77">
        <f t="shared" si="12"/>
        <v>15261.450635036497</v>
      </c>
      <c r="F38" s="77">
        <f t="shared" si="12"/>
        <v>15261.450635036497</v>
      </c>
      <c r="G38" s="77">
        <f t="shared" si="12"/>
        <v>21065.628908759121</v>
      </c>
      <c r="H38" s="77">
        <f t="shared" si="12"/>
        <v>21065.628908759121</v>
      </c>
      <c r="I38" s="77">
        <f t="shared" si="12"/>
        <v>15261.450635036497</v>
      </c>
      <c r="J38" s="77">
        <f t="shared" si="12"/>
        <v>17272.37752554745</v>
      </c>
      <c r="K38" s="77">
        <f t="shared" si="12"/>
        <v>23076.555799270078</v>
      </c>
      <c r="L38" s="77">
        <f t="shared" si="12"/>
        <v>23076.555799270078</v>
      </c>
      <c r="M38" s="77">
        <f t="shared" si="12"/>
        <v>25087.482689781027</v>
      </c>
      <c r="N38" s="71">
        <f t="shared" si="9"/>
        <v>214169.22587956209</v>
      </c>
    </row>
    <row r="39" spans="1:14">
      <c r="A39" s="66" t="s">
        <v>53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1"/>
    </row>
    <row r="40" spans="1:14">
      <c r="A40" s="31" t="s">
        <v>54</v>
      </c>
      <c r="B40" s="76">
        <f>GETPIVOTDATA("Expense/revenue FT",'Financial information  FT'!$I$4,"Profit Model label","Fixed Expense")</f>
        <v>5045</v>
      </c>
      <c r="C40" s="76">
        <f>GETPIVOTDATA("Expense/revenue FT",'Financial information  FT'!$I$4,"Profit Model label","Fixed Expense")</f>
        <v>5045</v>
      </c>
      <c r="D40" s="76">
        <f>GETPIVOTDATA("Expense/revenue FT",'Financial information  FT'!$I$4,"Profit Model label","Fixed Expense")</f>
        <v>5045</v>
      </c>
      <c r="E40" s="76">
        <f>GETPIVOTDATA("Expense/revenue FT",'Financial information  FT'!$I$4,"Profit Model label","Fixed Expense")</f>
        <v>5045</v>
      </c>
      <c r="F40" s="76">
        <f>GETPIVOTDATA("Expense/revenue FT",'Financial information  FT'!$I$4,"Profit Model label","Fixed Expense")</f>
        <v>5045</v>
      </c>
      <c r="G40" s="76">
        <f>GETPIVOTDATA("Expense/revenue FT",'Financial information  FT'!$I$4,"Profit Model label","Fixed Expense")</f>
        <v>5045</v>
      </c>
      <c r="H40" s="76">
        <f>GETPIVOTDATA("Expense/revenue FT",'Financial information  FT'!$I$4,"Profit Model label","Fixed Expense")</f>
        <v>5045</v>
      </c>
      <c r="I40" s="76">
        <f>GETPIVOTDATA("Expense/revenue FT",'Financial information  FT'!$I$4,"Profit Model label","Fixed Expense")</f>
        <v>5045</v>
      </c>
      <c r="J40" s="76">
        <f>GETPIVOTDATA("Expense/revenue FT",'Financial information  FT'!$I$4,"Profit Model label","Fixed Expense")</f>
        <v>5045</v>
      </c>
      <c r="K40" s="76">
        <f>GETPIVOTDATA("Expense/revenue FT",'Financial information  FT'!$I$4,"Profit Model label","Fixed Expense")</f>
        <v>5045</v>
      </c>
      <c r="L40" s="76">
        <f>GETPIVOTDATA("Expense/revenue FT",'Financial information  FT'!$I$4,"Profit Model label","Fixed Expense")</f>
        <v>5045</v>
      </c>
      <c r="M40" s="76">
        <f>GETPIVOTDATA("Expense/revenue FT",'Financial information  FT'!$I$4,"Profit Model label","Fixed Expense")</f>
        <v>5045</v>
      </c>
      <c r="N40" s="71">
        <f t="shared" si="9"/>
        <v>60540</v>
      </c>
    </row>
    <row r="41" spans="1:14">
      <c r="A41" s="59" t="s">
        <v>55</v>
      </c>
      <c r="B41" s="76">
        <f>B40</f>
        <v>5045</v>
      </c>
      <c r="C41" s="76">
        <f t="shared" ref="C41:M41" si="13">C40</f>
        <v>5045</v>
      </c>
      <c r="D41" s="76">
        <f t="shared" si="13"/>
        <v>5045</v>
      </c>
      <c r="E41" s="76">
        <f t="shared" si="13"/>
        <v>5045</v>
      </c>
      <c r="F41" s="76">
        <f t="shared" si="13"/>
        <v>5045</v>
      </c>
      <c r="G41" s="76">
        <f t="shared" si="13"/>
        <v>5045</v>
      </c>
      <c r="H41" s="76">
        <f t="shared" si="13"/>
        <v>5045</v>
      </c>
      <c r="I41" s="76">
        <f t="shared" si="13"/>
        <v>5045</v>
      </c>
      <c r="J41" s="76">
        <f t="shared" si="13"/>
        <v>5045</v>
      </c>
      <c r="K41" s="76">
        <f t="shared" si="13"/>
        <v>5045</v>
      </c>
      <c r="L41" s="76">
        <f t="shared" si="13"/>
        <v>5045</v>
      </c>
      <c r="M41" s="76">
        <f t="shared" si="13"/>
        <v>5045</v>
      </c>
      <c r="N41" s="71">
        <f t="shared" si="9"/>
        <v>60540</v>
      </c>
    </row>
    <row r="42" spans="1:14">
      <c r="A42" s="31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1"/>
    </row>
    <row r="43" spans="1:14">
      <c r="A43" s="31" t="s">
        <v>56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1"/>
    </row>
    <row r="44" spans="1:14">
      <c r="A44" s="31" t="s">
        <v>57</v>
      </c>
      <c r="B44" s="76">
        <f>GETPIVOTDATA("Expense/revenue FT",'Financial information  FT'!$I$4,"Profit Model label","Variable  Expense coffee")*B31</f>
        <v>1023.6427007299271</v>
      </c>
      <c r="C44" s="76">
        <f>GETPIVOTDATA("Expense/revenue FT",'Financial information  FT'!$I$4,"Profit Model label","Variable  Expense coffee")*C31</f>
        <v>1206.7872262773724</v>
      </c>
      <c r="D44" s="76">
        <f>GETPIVOTDATA("Expense/revenue FT",'Financial information  FT'!$I$4,"Profit Model label","Variable  Expense coffee")*D31</f>
        <v>1206.7872262773724</v>
      </c>
      <c r="E44" s="76">
        <f>GETPIVOTDATA("Expense/revenue FT",'Financial information  FT'!$I$4,"Profit Model label","Variable  Expense coffee")*E31</f>
        <v>1389.9317518248176</v>
      </c>
      <c r="F44" s="76">
        <f>GETPIVOTDATA("Expense/revenue FT",'Financial information  FT'!$I$4,"Profit Model label","Variable  Expense coffee")*F31</f>
        <v>1389.9317518248176</v>
      </c>
      <c r="G44" s="76">
        <f>GETPIVOTDATA("Expense/revenue FT",'Financial information  FT'!$I$4,"Profit Model label","Variable  Expense coffee")*G31</f>
        <v>1918.5454379562043</v>
      </c>
      <c r="H44" s="76">
        <f>GETPIVOTDATA("Expense/revenue FT",'Financial information  FT'!$I$4,"Profit Model label","Variable  Expense coffee")*H31</f>
        <v>1918.5454379562043</v>
      </c>
      <c r="I44" s="76">
        <f>GETPIVOTDATA("Expense/revenue FT",'Financial information  FT'!$I$4,"Profit Model label","Variable  Expense coffee")*I31</f>
        <v>1389.9317518248176</v>
      </c>
      <c r="J44" s="76">
        <f>GETPIVOTDATA("Expense/revenue FT",'Financial information  FT'!$I$4,"Profit Model label","Variable  Expense coffee")*J31</f>
        <v>1573.0762773722631</v>
      </c>
      <c r="K44" s="76">
        <f>GETPIVOTDATA("Expense/revenue FT",'Financial information  FT'!$I$4,"Profit Model label","Variable  Expense coffee")*K31</f>
        <v>2101.6899635036498</v>
      </c>
      <c r="L44" s="76">
        <f>GETPIVOTDATA("Expense/revenue FT",'Financial information  FT'!$I$4,"Profit Model label","Variable  Expense coffee")*L31</f>
        <v>2101.6899635036498</v>
      </c>
      <c r="M44" s="76">
        <f>GETPIVOTDATA("Expense/revenue FT",'Financial information  FT'!$I$4,"Profit Model label","Variable  Expense coffee")*M31</f>
        <v>2284.8344890510953</v>
      </c>
      <c r="N44" s="72">
        <f>SUM(B44:M44)</f>
        <v>19505.393978102195</v>
      </c>
    </row>
    <row r="45" spans="1:14">
      <c r="A45" s="31" t="s">
        <v>58</v>
      </c>
      <c r="B45" s="76">
        <f>GETPIVOTDATA("Expense/revenue FT",'Financial information  FT'!$I$4,"Profit Model label","Variable  Expense donut")*B31</f>
        <v>1228.3712408759125</v>
      </c>
      <c r="C45" s="76">
        <f>GETPIVOTDATA("Expense/revenue FT",'Financial information  FT'!$I$4,"Profit Model label","Variable  Expense donut")*C31</f>
        <v>1448.1446715328468</v>
      </c>
      <c r="D45" s="76">
        <f>GETPIVOTDATA("Expense/revenue FT",'Financial information  FT'!$I$4,"Profit Model label","Variable  Expense donut")*D31</f>
        <v>1448.1446715328468</v>
      </c>
      <c r="E45" s="76">
        <f>GETPIVOTDATA("Expense/revenue FT",'Financial information  FT'!$I$4,"Profit Model label","Variable  Expense donut")*E31</f>
        <v>1667.9181021897812</v>
      </c>
      <c r="F45" s="76">
        <f>GETPIVOTDATA("Expense/revenue FT",'Financial information  FT'!$I$4,"Profit Model label","Variable  Expense donut")*F31</f>
        <v>1667.9181021897812</v>
      </c>
      <c r="G45" s="76">
        <f>GETPIVOTDATA("Expense/revenue FT",'Financial information  FT'!$I$4,"Profit Model label","Variable  Expense donut")*G31</f>
        <v>2302.2545255474452</v>
      </c>
      <c r="H45" s="76">
        <f>GETPIVOTDATA("Expense/revenue FT",'Financial information  FT'!$I$4,"Profit Model label","Variable  Expense donut")*H31</f>
        <v>2302.2545255474452</v>
      </c>
      <c r="I45" s="76">
        <f>GETPIVOTDATA("Expense/revenue FT",'Financial information  FT'!$I$4,"Profit Model label","Variable  Expense donut")*I31</f>
        <v>1667.9181021897812</v>
      </c>
      <c r="J45" s="76">
        <f>GETPIVOTDATA("Expense/revenue FT",'Financial information  FT'!$I$4,"Profit Model label","Variable  Expense donut")*J31</f>
        <v>1887.6915328467157</v>
      </c>
      <c r="K45" s="76">
        <f>GETPIVOTDATA("Expense/revenue FT",'Financial information  FT'!$I$4,"Profit Model label","Variable  Expense donut")*K31</f>
        <v>2522.0279562043797</v>
      </c>
      <c r="L45" s="76">
        <f>GETPIVOTDATA("Expense/revenue FT",'Financial information  FT'!$I$4,"Profit Model label","Variable  Expense donut")*L31</f>
        <v>2522.0279562043797</v>
      </c>
      <c r="M45" s="76">
        <f>GETPIVOTDATA("Expense/revenue FT",'Financial information  FT'!$I$4,"Profit Model label","Variable  Expense donut")*M31</f>
        <v>2741.8013868613143</v>
      </c>
      <c r="N45" s="72">
        <f t="shared" ref="N45:N46" si="14">SUM(B45:M45)</f>
        <v>23406.472773722628</v>
      </c>
    </row>
    <row r="46" spans="1:14">
      <c r="A46" s="59" t="s">
        <v>59</v>
      </c>
      <c r="B46" s="80">
        <f>SUM(B44:B45)</f>
        <v>2252.0139416058396</v>
      </c>
      <c r="C46" s="80">
        <f t="shared" ref="C46" si="15">SUM(C44:C45)</f>
        <v>2654.9318978102192</v>
      </c>
      <c r="D46" s="80">
        <f t="shared" ref="D46" si="16">SUM(D44:D45)</f>
        <v>2654.9318978102192</v>
      </c>
      <c r="E46" s="80">
        <f t="shared" ref="E46" si="17">SUM(E44:E45)</f>
        <v>3057.8498540145988</v>
      </c>
      <c r="F46" s="80">
        <f t="shared" ref="F46" si="18">SUM(F44:F45)</f>
        <v>3057.8498540145988</v>
      </c>
      <c r="G46" s="80">
        <f t="shared" ref="G46" si="19">SUM(G44:G45)</f>
        <v>4220.7999635036495</v>
      </c>
      <c r="H46" s="80">
        <f t="shared" ref="H46" si="20">SUM(H44:H45)</f>
        <v>4220.7999635036495</v>
      </c>
      <c r="I46" s="80">
        <f t="shared" ref="I46" si="21">SUM(I44:I45)</f>
        <v>3057.8498540145988</v>
      </c>
      <c r="J46" s="80">
        <f t="shared" ref="J46" si="22">SUM(J44:J45)</f>
        <v>3460.7678102189789</v>
      </c>
      <c r="K46" s="80">
        <f t="shared" ref="K46" si="23">SUM(K44:K45)</f>
        <v>4623.7179197080295</v>
      </c>
      <c r="L46" s="80">
        <f t="shared" ref="L46" si="24">SUM(L44:L45)</f>
        <v>4623.7179197080295</v>
      </c>
      <c r="M46" s="80">
        <f t="shared" ref="M46" si="25">SUM(M44:M45)</f>
        <v>5026.6358759124096</v>
      </c>
      <c r="N46" s="72">
        <f t="shared" si="14"/>
        <v>42911.866751824826</v>
      </c>
    </row>
    <row r="47" spans="1:14" ht="15" thickBot="1">
      <c r="A47" s="31" t="s">
        <v>60</v>
      </c>
      <c r="B47" s="81">
        <f>0</f>
        <v>0</v>
      </c>
      <c r="C47" s="81">
        <f>0</f>
        <v>0</v>
      </c>
      <c r="D47" s="81">
        <f>0</f>
        <v>0</v>
      </c>
      <c r="E47" s="81">
        <f>0</f>
        <v>0</v>
      </c>
      <c r="F47" s="81">
        <f>0</f>
        <v>0</v>
      </c>
      <c r="G47" s="81">
        <f>0</f>
        <v>0</v>
      </c>
      <c r="H47" s="81">
        <f>0</f>
        <v>0</v>
      </c>
      <c r="I47" s="81">
        <f>0</f>
        <v>0</v>
      </c>
      <c r="J47" s="81">
        <f>0</f>
        <v>0</v>
      </c>
      <c r="K47" s="81">
        <f>0</f>
        <v>0</v>
      </c>
      <c r="L47" s="81">
        <f>0</f>
        <v>0</v>
      </c>
      <c r="M47" s="81">
        <f>0</f>
        <v>0</v>
      </c>
      <c r="N47" s="74">
        <f>0</f>
        <v>0</v>
      </c>
    </row>
    <row r="48" spans="1:14" ht="15" thickTop="1">
      <c r="A48" s="65" t="s">
        <v>61</v>
      </c>
      <c r="B48" s="77">
        <f>B41+B46+B47</f>
        <v>7297.0139416058391</v>
      </c>
      <c r="C48" s="77">
        <f t="shared" ref="C48" si="26">C41+C46+C47</f>
        <v>7699.9318978102192</v>
      </c>
      <c r="D48" s="77">
        <f t="shared" ref="D48" si="27">D41+D46+D47</f>
        <v>7699.9318978102192</v>
      </c>
      <c r="E48" s="77">
        <f t="shared" ref="E48" si="28">E41+E46+E47</f>
        <v>8102.8498540145993</v>
      </c>
      <c r="F48" s="77">
        <f t="shared" ref="F48" si="29">F41+F46+F47</f>
        <v>8102.8498540145993</v>
      </c>
      <c r="G48" s="77">
        <f t="shared" ref="G48" si="30">G41+G46+G47</f>
        <v>9265.7999635036504</v>
      </c>
      <c r="H48" s="77">
        <f t="shared" ref="H48" si="31">H41+H46+H47</f>
        <v>9265.7999635036504</v>
      </c>
      <c r="I48" s="77">
        <f t="shared" ref="I48" si="32">I41+I46+I47</f>
        <v>8102.8498540145993</v>
      </c>
      <c r="J48" s="77">
        <f t="shared" ref="J48" si="33">J41+J46+J47</f>
        <v>8505.7678102189784</v>
      </c>
      <c r="K48" s="77">
        <f t="shared" ref="K48" si="34">K41+K46+K47</f>
        <v>9668.7179197080295</v>
      </c>
      <c r="L48" s="77">
        <f t="shared" ref="L48" si="35">L41+L46+L47</f>
        <v>9668.7179197080295</v>
      </c>
      <c r="M48" s="77">
        <f t="shared" ref="M48" si="36">M41+M46+M47</f>
        <v>10071.635875912409</v>
      </c>
      <c r="N48" s="72">
        <f>SUM(B48:M48)</f>
        <v>103451.86675182483</v>
      </c>
    </row>
    <row r="49" spans="1:14" ht="15" thickBot="1">
      <c r="A49" s="31"/>
      <c r="B49" s="83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109"/>
    </row>
    <row r="50" spans="1:14" ht="15.6" thickTop="1" thickBot="1">
      <c r="A50" s="67" t="s">
        <v>62</v>
      </c>
      <c r="B50" s="76">
        <f>B38-B48</f>
        <v>3942.5829124087613</v>
      </c>
      <c r="C50" s="76">
        <f t="shared" ref="C50:M50" si="37">C38-C48</f>
        <v>5550.5918467153306</v>
      </c>
      <c r="D50" s="76">
        <f t="shared" si="37"/>
        <v>5550.5918467153306</v>
      </c>
      <c r="E50" s="76">
        <f t="shared" si="37"/>
        <v>7158.600781021898</v>
      </c>
      <c r="F50" s="76">
        <f t="shared" si="37"/>
        <v>7158.600781021898</v>
      </c>
      <c r="G50" s="76">
        <f t="shared" si="37"/>
        <v>11799.828945255471</v>
      </c>
      <c r="H50" s="76">
        <f t="shared" si="37"/>
        <v>11799.828945255471</v>
      </c>
      <c r="I50" s="76">
        <f t="shared" si="37"/>
        <v>7158.600781021898</v>
      </c>
      <c r="J50" s="76">
        <f t="shared" si="37"/>
        <v>8766.6097153284718</v>
      </c>
      <c r="K50" s="76">
        <f t="shared" si="37"/>
        <v>13407.837879562048</v>
      </c>
      <c r="L50" s="76">
        <f t="shared" si="37"/>
        <v>13407.837879562048</v>
      </c>
      <c r="M50" s="76">
        <f t="shared" si="37"/>
        <v>15015.846813868618</v>
      </c>
      <c r="N50" s="75">
        <f>SUM(B50:M50)</f>
        <v>110717.35912773726</v>
      </c>
    </row>
    <row r="52" spans="1:14">
      <c r="A52" s="57"/>
    </row>
    <row r="53" spans="1:14" ht="15" thickBot="1">
      <c r="A53" s="29" t="s">
        <v>64</v>
      </c>
    </row>
    <row r="54" spans="1:14">
      <c r="A54" s="63" t="s">
        <v>7</v>
      </c>
      <c r="B54" s="61">
        <f t="shared" ref="B54:M54" si="38">B29</f>
        <v>44927</v>
      </c>
      <c r="C54" s="61">
        <f t="shared" si="38"/>
        <v>44958</v>
      </c>
      <c r="D54" s="61">
        <f t="shared" si="38"/>
        <v>44986</v>
      </c>
      <c r="E54" s="61">
        <f t="shared" si="38"/>
        <v>45017</v>
      </c>
      <c r="F54" s="61">
        <f t="shared" si="38"/>
        <v>45047</v>
      </c>
      <c r="G54" s="61">
        <f t="shared" si="38"/>
        <v>45078</v>
      </c>
      <c r="H54" s="61">
        <f t="shared" si="38"/>
        <v>45108</v>
      </c>
      <c r="I54" s="61">
        <f t="shared" si="38"/>
        <v>45139</v>
      </c>
      <c r="J54" s="61">
        <f t="shared" si="38"/>
        <v>45170</v>
      </c>
      <c r="K54" s="61">
        <f t="shared" si="38"/>
        <v>45200</v>
      </c>
      <c r="L54" s="61">
        <f t="shared" si="38"/>
        <v>45231</v>
      </c>
      <c r="M54" s="61">
        <f t="shared" si="38"/>
        <v>45261</v>
      </c>
      <c r="N54" s="70" t="s">
        <v>96</v>
      </c>
    </row>
    <row r="55" spans="1:14">
      <c r="A55" s="31" t="s">
        <v>38</v>
      </c>
      <c r="B55" s="76">
        <f>B5*(1-'Financial information  FT'!$B$36)</f>
        <v>1442.8487591240878</v>
      </c>
      <c r="C55" s="76">
        <f>C5*(1-'Financial information  FT'!$B$36)</f>
        <v>1700.9953284671533</v>
      </c>
      <c r="D55" s="76">
        <f>D5*(1-'Financial information  FT'!$B$36)</f>
        <v>1700.9953284671533</v>
      </c>
      <c r="E55" s="76">
        <f>E5*(1-'Financial information  FT'!$B$36)</f>
        <v>1959.1418978102192</v>
      </c>
      <c r="F55" s="76">
        <f>F5*(1-'Financial information  FT'!$B$36)</f>
        <v>1959.1418978102192</v>
      </c>
      <c r="G55" s="76">
        <f>G5*(1-'Financial information  FT'!$B$36)</f>
        <v>2704.2354744525546</v>
      </c>
      <c r="H55" s="76">
        <f>H5*(1-'Financial information  FT'!$B$36)</f>
        <v>2704.2354744525546</v>
      </c>
      <c r="I55" s="76">
        <f>I5*(1-'Financial information  FT'!$B$36)</f>
        <v>1959.1418978102192</v>
      </c>
      <c r="J55" s="76">
        <f>J5*(1-'Financial information  FT'!$B$36)</f>
        <v>2217.2884671532852</v>
      </c>
      <c r="K55" s="76">
        <f>K5*(1-'Financial information  FT'!$B$36)</f>
        <v>2962.3820437956206</v>
      </c>
      <c r="L55" s="76">
        <f>L5*(1-'Financial information  FT'!$B$36)</f>
        <v>2962.3820437956206</v>
      </c>
      <c r="M55" s="76">
        <f>M5*(1-'Financial information  FT'!$B$36)</f>
        <v>3220.5286131386861</v>
      </c>
      <c r="N55" s="71">
        <f>SUM(B55:M55)</f>
        <v>27493.317226277373</v>
      </c>
    </row>
    <row r="56" spans="1:14">
      <c r="A56" s="31" t="s">
        <v>45</v>
      </c>
      <c r="B56" s="76">
        <f>B55</f>
        <v>1442.8487591240878</v>
      </c>
      <c r="C56" s="76">
        <f t="shared" ref="C56:M56" si="39">C55</f>
        <v>1700.9953284671533</v>
      </c>
      <c r="D56" s="76">
        <f t="shared" si="39"/>
        <v>1700.9953284671533</v>
      </c>
      <c r="E56" s="76">
        <f t="shared" si="39"/>
        <v>1959.1418978102192</v>
      </c>
      <c r="F56" s="76">
        <f t="shared" si="39"/>
        <v>1959.1418978102192</v>
      </c>
      <c r="G56" s="76">
        <f t="shared" si="39"/>
        <v>2704.2354744525546</v>
      </c>
      <c r="H56" s="76">
        <f t="shared" si="39"/>
        <v>2704.2354744525546</v>
      </c>
      <c r="I56" s="76">
        <f t="shared" si="39"/>
        <v>1959.1418978102192</v>
      </c>
      <c r="J56" s="76">
        <f t="shared" si="39"/>
        <v>2217.2884671532852</v>
      </c>
      <c r="K56" s="76">
        <f t="shared" si="39"/>
        <v>2962.3820437956206</v>
      </c>
      <c r="L56" s="76">
        <f t="shared" si="39"/>
        <v>2962.3820437956206</v>
      </c>
      <c r="M56" s="76">
        <f t="shared" si="39"/>
        <v>3220.5286131386861</v>
      </c>
      <c r="N56" s="71">
        <f>SUM(B56:M56)</f>
        <v>27493.317226277373</v>
      </c>
    </row>
    <row r="57" spans="1:14">
      <c r="A57" s="31" t="s">
        <v>46</v>
      </c>
      <c r="B57" s="76">
        <f>IF(B55&lt;$E$2,$E$2-B55,0)</f>
        <v>0</v>
      </c>
      <c r="C57" s="76">
        <f t="shared" ref="C57:M57" si="40">IF(C55&lt;$E$2,$E$2-C55,0)</f>
        <v>0</v>
      </c>
      <c r="D57" s="76">
        <f t="shared" si="40"/>
        <v>0</v>
      </c>
      <c r="E57" s="76">
        <f t="shared" si="40"/>
        <v>0</v>
      </c>
      <c r="F57" s="76">
        <f t="shared" si="40"/>
        <v>0</v>
      </c>
      <c r="G57" s="76">
        <f t="shared" si="40"/>
        <v>0</v>
      </c>
      <c r="H57" s="76">
        <f t="shared" si="40"/>
        <v>0</v>
      </c>
      <c r="I57" s="76">
        <f t="shared" si="40"/>
        <v>0</v>
      </c>
      <c r="J57" s="76">
        <f t="shared" si="40"/>
        <v>0</v>
      </c>
      <c r="K57" s="76">
        <f t="shared" si="40"/>
        <v>0</v>
      </c>
      <c r="L57" s="76">
        <f t="shared" si="40"/>
        <v>0</v>
      </c>
      <c r="M57" s="76">
        <f t="shared" si="40"/>
        <v>0</v>
      </c>
      <c r="N57" s="72">
        <f t="shared" ref="N57:N58" si="41">SUM(B57:M57)</f>
        <v>0</v>
      </c>
    </row>
    <row r="58" spans="1:14">
      <c r="A58" s="32" t="s">
        <v>47</v>
      </c>
      <c r="B58" s="76">
        <f>0</f>
        <v>0</v>
      </c>
      <c r="C58" s="76">
        <f>0</f>
        <v>0</v>
      </c>
      <c r="D58" s="76">
        <f>0</f>
        <v>0</v>
      </c>
      <c r="E58" s="76">
        <f>0</f>
        <v>0</v>
      </c>
      <c r="F58" s="76">
        <f>0</f>
        <v>0</v>
      </c>
      <c r="G58" s="76">
        <f>0</f>
        <v>0</v>
      </c>
      <c r="H58" s="76">
        <f>0</f>
        <v>0</v>
      </c>
      <c r="I58" s="76">
        <f>0</f>
        <v>0</v>
      </c>
      <c r="J58" s="76">
        <f>0</f>
        <v>0</v>
      </c>
      <c r="K58" s="76">
        <f>0</f>
        <v>0</v>
      </c>
      <c r="L58" s="76">
        <f>0</f>
        <v>0</v>
      </c>
      <c r="M58" s="76">
        <f>0</f>
        <v>0</v>
      </c>
      <c r="N58" s="73">
        <f t="shared" si="41"/>
        <v>0</v>
      </c>
    </row>
    <row r="59" spans="1:14">
      <c r="A59" s="64" t="s">
        <v>48</v>
      </c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1"/>
    </row>
    <row r="60" spans="1:14">
      <c r="A60" s="31" t="s">
        <v>49</v>
      </c>
      <c r="B60" s="76">
        <f>B56*GETPIVOTDATA("Expense/revenue FT",'Financial information  FT'!$I$4,"Profit Model label","Rev: Coffee")</f>
        <v>4314.117789781023</v>
      </c>
      <c r="C60" s="76">
        <f>C56*GETPIVOTDATA("Expense/revenue FT",'Financial information  FT'!$I$4,"Profit Model label","Rev: Coffee")</f>
        <v>5085.9760321167887</v>
      </c>
      <c r="D60" s="76">
        <f>D56*GETPIVOTDATA("Expense/revenue FT",'Financial information  FT'!$I$4,"Profit Model label","Rev: Coffee")</f>
        <v>5085.9760321167887</v>
      </c>
      <c r="E60" s="76">
        <f>E56*GETPIVOTDATA("Expense/revenue FT",'Financial information  FT'!$I$4,"Profit Model label","Rev: Coffee")</f>
        <v>5857.8342744525562</v>
      </c>
      <c r="F60" s="76">
        <f>F56*GETPIVOTDATA("Expense/revenue FT",'Financial information  FT'!$I$4,"Profit Model label","Rev: Coffee")</f>
        <v>5857.8342744525562</v>
      </c>
      <c r="G60" s="76">
        <f>G56*GETPIVOTDATA("Expense/revenue FT",'Financial information  FT'!$I$4,"Profit Model label","Rev: Coffee")</f>
        <v>8085.6640686131386</v>
      </c>
      <c r="H60" s="76">
        <f>H56*GETPIVOTDATA("Expense/revenue FT",'Financial information  FT'!$I$4,"Profit Model label","Rev: Coffee")</f>
        <v>8085.6640686131386</v>
      </c>
      <c r="I60" s="76">
        <f>I56*GETPIVOTDATA("Expense/revenue FT",'Financial information  FT'!$I$4,"Profit Model label","Rev: Coffee")</f>
        <v>5857.8342744525562</v>
      </c>
      <c r="J60" s="76">
        <f>J56*GETPIVOTDATA("Expense/revenue FT",'Financial information  FT'!$I$4,"Profit Model label","Rev: Coffee")</f>
        <v>6629.6925167883228</v>
      </c>
      <c r="K60" s="76">
        <f>K56*GETPIVOTDATA("Expense/revenue FT",'Financial information  FT'!$I$4,"Profit Model label","Rev: Coffee")</f>
        <v>8857.522310948907</v>
      </c>
      <c r="L60" s="76">
        <f>L56*GETPIVOTDATA("Expense/revenue FT",'Financial information  FT'!$I$4,"Profit Model label","Rev: Coffee")</f>
        <v>8857.522310948907</v>
      </c>
      <c r="M60" s="76">
        <f>M56*GETPIVOTDATA("Expense/revenue FT",'Financial information  FT'!$I$4,"Profit Model label","Rev: Coffee")</f>
        <v>9629.3805532846727</v>
      </c>
      <c r="N60" s="72">
        <f t="shared" ref="N60:N63" si="42">SUM(B60:M60)</f>
        <v>82205.018506569351</v>
      </c>
    </row>
    <row r="61" spans="1:14">
      <c r="A61" s="31" t="s">
        <v>50</v>
      </c>
      <c r="B61" s="76">
        <f>B56*GETPIVOTDATA("Expense/revenue FT",'Financial information  FT'!$I$4,"Profit Model label","Rev: Donut")</f>
        <v>3607.1218978102197</v>
      </c>
      <c r="C61" s="76">
        <f>C56*GETPIVOTDATA("Expense/revenue FT",'Financial information  FT'!$I$4,"Profit Model label","Rev: Donut")</f>
        <v>4252.4883211678834</v>
      </c>
      <c r="D61" s="76">
        <f>D56*GETPIVOTDATA("Expense/revenue FT",'Financial information  FT'!$I$4,"Profit Model label","Rev: Donut")</f>
        <v>4252.4883211678834</v>
      </c>
      <c r="E61" s="76">
        <f>E56*GETPIVOTDATA("Expense/revenue FT",'Financial information  FT'!$I$4,"Profit Model label","Rev: Donut")</f>
        <v>4897.8547445255481</v>
      </c>
      <c r="F61" s="76">
        <f>F56*GETPIVOTDATA("Expense/revenue FT",'Financial information  FT'!$I$4,"Profit Model label","Rev: Donut")</f>
        <v>4897.8547445255481</v>
      </c>
      <c r="G61" s="76">
        <f>G56*GETPIVOTDATA("Expense/revenue FT",'Financial information  FT'!$I$4,"Profit Model label","Rev: Donut")</f>
        <v>6760.5886861313866</v>
      </c>
      <c r="H61" s="76">
        <f>H56*GETPIVOTDATA("Expense/revenue FT",'Financial information  FT'!$I$4,"Profit Model label","Rev: Donut")</f>
        <v>6760.5886861313866</v>
      </c>
      <c r="I61" s="76">
        <f>I56*GETPIVOTDATA("Expense/revenue FT",'Financial information  FT'!$I$4,"Profit Model label","Rev: Donut")</f>
        <v>4897.8547445255481</v>
      </c>
      <c r="J61" s="76">
        <f>J56*GETPIVOTDATA("Expense/revenue FT",'Financial information  FT'!$I$4,"Profit Model label","Rev: Donut")</f>
        <v>5543.2211678832127</v>
      </c>
      <c r="K61" s="76">
        <f>K56*GETPIVOTDATA("Expense/revenue FT",'Financial information  FT'!$I$4,"Profit Model label","Rev: Donut")</f>
        <v>7405.9551094890512</v>
      </c>
      <c r="L61" s="76">
        <f>L56*GETPIVOTDATA("Expense/revenue FT",'Financial information  FT'!$I$4,"Profit Model label","Rev: Donut")</f>
        <v>7405.9551094890512</v>
      </c>
      <c r="M61" s="76">
        <f>M56*GETPIVOTDATA("Expense/revenue FT",'Financial information  FT'!$I$4,"Profit Model label","Rev: Donut")</f>
        <v>8051.3215328467149</v>
      </c>
      <c r="N61" s="72">
        <f t="shared" si="42"/>
        <v>68733.293065693419</v>
      </c>
    </row>
    <row r="62" spans="1:14" ht="15" thickBot="1">
      <c r="A62" s="31" t="s">
        <v>51</v>
      </c>
      <c r="B62" s="79">
        <f>B57*$G$2</f>
        <v>0</v>
      </c>
      <c r="C62" s="79">
        <f t="shared" ref="C62:M62" si="43">C57*$G$2</f>
        <v>0</v>
      </c>
      <c r="D62" s="79">
        <f t="shared" si="43"/>
        <v>0</v>
      </c>
      <c r="E62" s="79">
        <f t="shared" si="43"/>
        <v>0</v>
      </c>
      <c r="F62" s="79">
        <f t="shared" si="43"/>
        <v>0</v>
      </c>
      <c r="G62" s="79">
        <f t="shared" si="43"/>
        <v>0</v>
      </c>
      <c r="H62" s="79">
        <f t="shared" si="43"/>
        <v>0</v>
      </c>
      <c r="I62" s="79">
        <f t="shared" si="43"/>
        <v>0</v>
      </c>
      <c r="J62" s="79">
        <f t="shared" si="43"/>
        <v>0</v>
      </c>
      <c r="K62" s="79">
        <f t="shared" si="43"/>
        <v>0</v>
      </c>
      <c r="L62" s="79">
        <f t="shared" si="43"/>
        <v>0</v>
      </c>
      <c r="M62" s="79">
        <f t="shared" si="43"/>
        <v>0</v>
      </c>
      <c r="N62" s="74">
        <f t="shared" si="42"/>
        <v>0</v>
      </c>
    </row>
    <row r="63" spans="1:14" ht="15" thickTop="1">
      <c r="A63" s="65" t="s">
        <v>52</v>
      </c>
      <c r="B63" s="77">
        <f>SUM(B60:B62)</f>
        <v>7921.2396875912427</v>
      </c>
      <c r="C63" s="77">
        <f t="shared" ref="C63" si="44">SUM(C60:C62)</f>
        <v>9338.4643532846712</v>
      </c>
      <c r="D63" s="77">
        <f t="shared" ref="D63" si="45">SUM(D60:D62)</f>
        <v>9338.4643532846712</v>
      </c>
      <c r="E63" s="77">
        <f t="shared" ref="E63" si="46">SUM(E60:E62)</f>
        <v>10755.689018978104</v>
      </c>
      <c r="F63" s="77">
        <f t="shared" ref="F63" si="47">SUM(F60:F62)</f>
        <v>10755.689018978104</v>
      </c>
      <c r="G63" s="77">
        <f t="shared" ref="G63" si="48">SUM(G60:G62)</f>
        <v>14846.252754744524</v>
      </c>
      <c r="H63" s="77">
        <f t="shared" ref="H63" si="49">SUM(H60:H62)</f>
        <v>14846.252754744524</v>
      </c>
      <c r="I63" s="77">
        <f t="shared" ref="I63" si="50">SUM(I60:I62)</f>
        <v>10755.689018978104</v>
      </c>
      <c r="J63" s="77">
        <f t="shared" ref="J63" si="51">SUM(J60:J62)</f>
        <v>12172.913684671536</v>
      </c>
      <c r="K63" s="77">
        <f t="shared" ref="K63" si="52">SUM(K60:K62)</f>
        <v>16263.477420437957</v>
      </c>
      <c r="L63" s="77">
        <f t="shared" ref="L63" si="53">SUM(L60:L62)</f>
        <v>16263.477420437957</v>
      </c>
      <c r="M63" s="77">
        <f t="shared" ref="M63" si="54">SUM(M60:M62)</f>
        <v>17680.702086131387</v>
      </c>
      <c r="N63" s="73">
        <f t="shared" si="42"/>
        <v>150938.31157226278</v>
      </c>
    </row>
    <row r="64" spans="1:14">
      <c r="A64" s="66" t="s">
        <v>53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1"/>
    </row>
    <row r="65" spans="1:14">
      <c r="A65" s="31" t="s">
        <v>54</v>
      </c>
      <c r="B65" s="76">
        <f>GETPIVOTDATA("Expense/revenue FT",'Financial information  FT'!$I$4,"Profit Model label","Fixed Expense")</f>
        <v>5045</v>
      </c>
      <c r="C65" s="76">
        <f>GETPIVOTDATA("Expense/revenue FT",'Financial information  FT'!$I$4,"Profit Model label","Fixed Expense")</f>
        <v>5045</v>
      </c>
      <c r="D65" s="76">
        <f>GETPIVOTDATA("Expense/revenue FT",'Financial information  FT'!$I$4,"Profit Model label","Fixed Expense")</f>
        <v>5045</v>
      </c>
      <c r="E65" s="76">
        <f>GETPIVOTDATA("Expense/revenue FT",'Financial information  FT'!$I$4,"Profit Model label","Fixed Expense")</f>
        <v>5045</v>
      </c>
      <c r="F65" s="76">
        <f>GETPIVOTDATA("Expense/revenue FT",'Financial information  FT'!$I$4,"Profit Model label","Fixed Expense")</f>
        <v>5045</v>
      </c>
      <c r="G65" s="76">
        <f>GETPIVOTDATA("Expense/revenue FT",'Financial information  FT'!$I$4,"Profit Model label","Fixed Expense")</f>
        <v>5045</v>
      </c>
      <c r="H65" s="76">
        <f>GETPIVOTDATA("Expense/revenue FT",'Financial information  FT'!$I$4,"Profit Model label","Fixed Expense")</f>
        <v>5045</v>
      </c>
      <c r="I65" s="76">
        <f>GETPIVOTDATA("Expense/revenue FT",'Financial information  FT'!$I$4,"Profit Model label","Fixed Expense")</f>
        <v>5045</v>
      </c>
      <c r="J65" s="76">
        <f>GETPIVOTDATA("Expense/revenue FT",'Financial information  FT'!$I$4,"Profit Model label","Fixed Expense")</f>
        <v>5045</v>
      </c>
      <c r="K65" s="76">
        <f>GETPIVOTDATA("Expense/revenue FT",'Financial information  FT'!$I$4,"Profit Model label","Fixed Expense")</f>
        <v>5045</v>
      </c>
      <c r="L65" s="76">
        <f>GETPIVOTDATA("Expense/revenue FT",'Financial information  FT'!$I$4,"Profit Model label","Fixed Expense")</f>
        <v>5045</v>
      </c>
      <c r="M65" s="76">
        <f>GETPIVOTDATA("Expense/revenue FT",'Financial information  FT'!$I$4,"Profit Model label","Fixed Expense")</f>
        <v>5045</v>
      </c>
      <c r="N65" s="72">
        <f t="shared" ref="N65:N66" si="55">SUM(B65:M65)</f>
        <v>60540</v>
      </c>
    </row>
    <row r="66" spans="1:14">
      <c r="A66" s="59" t="s">
        <v>55</v>
      </c>
      <c r="B66" s="76">
        <f>B65</f>
        <v>5045</v>
      </c>
      <c r="C66" s="76">
        <f t="shared" ref="C66" si="56">C65</f>
        <v>5045</v>
      </c>
      <c r="D66" s="76">
        <f t="shared" ref="D66" si="57">D65</f>
        <v>5045</v>
      </c>
      <c r="E66" s="76">
        <f t="shared" ref="E66" si="58">E65</f>
        <v>5045</v>
      </c>
      <c r="F66" s="76">
        <f t="shared" ref="F66" si="59">F65</f>
        <v>5045</v>
      </c>
      <c r="G66" s="76">
        <f t="shared" ref="G66" si="60">G65</f>
        <v>5045</v>
      </c>
      <c r="H66" s="76">
        <f t="shared" ref="H66" si="61">H65</f>
        <v>5045</v>
      </c>
      <c r="I66" s="76">
        <f t="shared" ref="I66" si="62">I65</f>
        <v>5045</v>
      </c>
      <c r="J66" s="76">
        <f t="shared" ref="J66" si="63">J65</f>
        <v>5045</v>
      </c>
      <c r="K66" s="76">
        <f t="shared" ref="K66" si="64">K65</f>
        <v>5045</v>
      </c>
      <c r="L66" s="76">
        <f t="shared" ref="L66" si="65">L65</f>
        <v>5045</v>
      </c>
      <c r="M66" s="76">
        <f t="shared" ref="M66" si="66">M65</f>
        <v>5045</v>
      </c>
      <c r="N66" s="72">
        <f t="shared" si="55"/>
        <v>60540</v>
      </c>
    </row>
    <row r="67" spans="1:14">
      <c r="A67" s="31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2"/>
    </row>
    <row r="68" spans="1:14">
      <c r="A68" s="31" t="s">
        <v>56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2"/>
    </row>
    <row r="69" spans="1:14">
      <c r="A69" s="31" t="s">
        <v>57</v>
      </c>
      <c r="B69" s="76">
        <f>GETPIVOTDATA("Expense/revenue FT",'Financial information  FT'!$I$4,"Profit Model label","Variable  Expense coffee")*B56</f>
        <v>721.4243795620439</v>
      </c>
      <c r="C69" s="76">
        <f>GETPIVOTDATA("Expense/revenue FT",'Financial information  FT'!$I$4,"Profit Model label","Variable  Expense coffee")*C56</f>
        <v>850.49766423357664</v>
      </c>
      <c r="D69" s="76">
        <f>GETPIVOTDATA("Expense/revenue FT",'Financial information  FT'!$I$4,"Profit Model label","Variable  Expense coffee")*D56</f>
        <v>850.49766423357664</v>
      </c>
      <c r="E69" s="76">
        <f>GETPIVOTDATA("Expense/revenue FT",'Financial information  FT'!$I$4,"Profit Model label","Variable  Expense coffee")*E56</f>
        <v>979.57094890510962</v>
      </c>
      <c r="F69" s="76">
        <f>GETPIVOTDATA("Expense/revenue FT",'Financial information  FT'!$I$4,"Profit Model label","Variable  Expense coffee")*F56</f>
        <v>979.57094890510962</v>
      </c>
      <c r="G69" s="76">
        <f>GETPIVOTDATA("Expense/revenue FT",'Financial information  FT'!$I$4,"Profit Model label","Variable  Expense coffee")*G56</f>
        <v>1352.1177372262773</v>
      </c>
      <c r="H69" s="76">
        <f>GETPIVOTDATA("Expense/revenue FT",'Financial information  FT'!$I$4,"Profit Model label","Variable  Expense coffee")*H56</f>
        <v>1352.1177372262773</v>
      </c>
      <c r="I69" s="76">
        <f>GETPIVOTDATA("Expense/revenue FT",'Financial information  FT'!$I$4,"Profit Model label","Variable  Expense coffee")*I56</f>
        <v>979.57094890510962</v>
      </c>
      <c r="J69" s="76">
        <f>GETPIVOTDATA("Expense/revenue FT",'Financial information  FT'!$I$4,"Profit Model label","Variable  Expense coffee")*J56</f>
        <v>1108.6442335766426</v>
      </c>
      <c r="K69" s="76">
        <f>GETPIVOTDATA("Expense/revenue FT",'Financial information  FT'!$I$4,"Profit Model label","Variable  Expense coffee")*K56</f>
        <v>1481.1910218978103</v>
      </c>
      <c r="L69" s="76">
        <f>GETPIVOTDATA("Expense/revenue FT",'Financial information  FT'!$I$4,"Profit Model label","Variable  Expense coffee")*L56</f>
        <v>1481.1910218978103</v>
      </c>
      <c r="M69" s="76">
        <f>GETPIVOTDATA("Expense/revenue FT",'Financial information  FT'!$I$4,"Profit Model label","Variable  Expense coffee")*M56</f>
        <v>1610.264306569343</v>
      </c>
      <c r="N69" s="72">
        <f>SUM(B69:M69)</f>
        <v>13746.658613138687</v>
      </c>
    </row>
    <row r="70" spans="1:14">
      <c r="A70" s="31" t="s">
        <v>58</v>
      </c>
      <c r="B70" s="76">
        <f>GETPIVOTDATA("Expense/revenue FT",'Financial information  FT'!$I$4,"Profit Model label","Variable  Expense donut")*B56</f>
        <v>865.70925547445268</v>
      </c>
      <c r="C70" s="76">
        <f>GETPIVOTDATA("Expense/revenue FT",'Financial information  FT'!$I$4,"Profit Model label","Variable  Expense donut")*C56</f>
        <v>1020.5971970802919</v>
      </c>
      <c r="D70" s="76">
        <f>GETPIVOTDATA("Expense/revenue FT",'Financial information  FT'!$I$4,"Profit Model label","Variable  Expense donut")*D56</f>
        <v>1020.5971970802919</v>
      </c>
      <c r="E70" s="76">
        <f>GETPIVOTDATA("Expense/revenue FT",'Financial information  FT'!$I$4,"Profit Model label","Variable  Expense donut")*E56</f>
        <v>1175.4851386861314</v>
      </c>
      <c r="F70" s="76">
        <f>GETPIVOTDATA("Expense/revenue FT",'Financial information  FT'!$I$4,"Profit Model label","Variable  Expense donut")*F56</f>
        <v>1175.4851386861314</v>
      </c>
      <c r="G70" s="76">
        <f>GETPIVOTDATA("Expense/revenue FT",'Financial information  FT'!$I$4,"Profit Model label","Variable  Expense donut")*G56</f>
        <v>1622.5412846715328</v>
      </c>
      <c r="H70" s="76">
        <f>GETPIVOTDATA("Expense/revenue FT",'Financial information  FT'!$I$4,"Profit Model label","Variable  Expense donut")*H56</f>
        <v>1622.5412846715328</v>
      </c>
      <c r="I70" s="76">
        <f>GETPIVOTDATA("Expense/revenue FT",'Financial information  FT'!$I$4,"Profit Model label","Variable  Expense donut")*I56</f>
        <v>1175.4851386861314</v>
      </c>
      <c r="J70" s="76">
        <f>GETPIVOTDATA("Expense/revenue FT",'Financial information  FT'!$I$4,"Profit Model label","Variable  Expense donut")*J56</f>
        <v>1330.3730802919711</v>
      </c>
      <c r="K70" s="76">
        <f>GETPIVOTDATA("Expense/revenue FT",'Financial information  FT'!$I$4,"Profit Model label","Variable  Expense donut")*K56</f>
        <v>1777.4292262773722</v>
      </c>
      <c r="L70" s="76">
        <f>GETPIVOTDATA("Expense/revenue FT",'Financial information  FT'!$I$4,"Profit Model label","Variable  Expense donut")*L56</f>
        <v>1777.4292262773722</v>
      </c>
      <c r="M70" s="76">
        <f>GETPIVOTDATA("Expense/revenue FT",'Financial information  FT'!$I$4,"Profit Model label","Variable  Expense donut")*M56</f>
        <v>1932.3171678832116</v>
      </c>
      <c r="N70" s="72">
        <f t="shared" ref="N70:N71" si="67">SUM(B70:M70)</f>
        <v>16495.990335766426</v>
      </c>
    </row>
    <row r="71" spans="1:14">
      <c r="A71" s="59" t="s">
        <v>59</v>
      </c>
      <c r="B71" s="80">
        <f>SUM(B69:B70)</f>
        <v>1587.1336350364966</v>
      </c>
      <c r="C71" s="80">
        <f t="shared" ref="C71" si="68">SUM(C69:C70)</f>
        <v>1871.0948613138685</v>
      </c>
      <c r="D71" s="80">
        <f t="shared" ref="D71" si="69">SUM(D69:D70)</f>
        <v>1871.0948613138685</v>
      </c>
      <c r="E71" s="80">
        <f t="shared" ref="E71" si="70">SUM(E69:E70)</f>
        <v>2155.0560875912411</v>
      </c>
      <c r="F71" s="80">
        <f t="shared" ref="F71" si="71">SUM(F69:F70)</f>
        <v>2155.0560875912411</v>
      </c>
      <c r="G71" s="80">
        <f t="shared" ref="G71" si="72">SUM(G69:G70)</f>
        <v>2974.6590218978099</v>
      </c>
      <c r="H71" s="80">
        <f t="shared" ref="H71" si="73">SUM(H69:H70)</f>
        <v>2974.6590218978099</v>
      </c>
      <c r="I71" s="80">
        <f t="shared" ref="I71" si="74">SUM(I69:I70)</f>
        <v>2155.0560875912411</v>
      </c>
      <c r="J71" s="80">
        <f t="shared" ref="J71" si="75">SUM(J69:J70)</f>
        <v>2439.0173138686137</v>
      </c>
      <c r="K71" s="80">
        <f t="shared" ref="K71" si="76">SUM(K69:K70)</f>
        <v>3258.6202481751825</v>
      </c>
      <c r="L71" s="80">
        <f t="shared" ref="L71" si="77">SUM(L69:L70)</f>
        <v>3258.6202481751825</v>
      </c>
      <c r="M71" s="80">
        <f t="shared" ref="M71" si="78">SUM(M69:M70)</f>
        <v>3542.5814744525546</v>
      </c>
      <c r="N71" s="72">
        <f t="shared" si="67"/>
        <v>30242.648948905113</v>
      </c>
    </row>
    <row r="72" spans="1:14" ht="15" thickBot="1">
      <c r="A72" s="31" t="s">
        <v>60</v>
      </c>
      <c r="B72" s="81">
        <f>0</f>
        <v>0</v>
      </c>
      <c r="C72" s="81">
        <f>0</f>
        <v>0</v>
      </c>
      <c r="D72" s="81">
        <f>0</f>
        <v>0</v>
      </c>
      <c r="E72" s="81">
        <f>0</f>
        <v>0</v>
      </c>
      <c r="F72" s="81">
        <f>0</f>
        <v>0</v>
      </c>
      <c r="G72" s="81">
        <f>0</f>
        <v>0</v>
      </c>
      <c r="H72" s="81">
        <f>0</f>
        <v>0</v>
      </c>
      <c r="I72" s="81">
        <f>0</f>
        <v>0</v>
      </c>
      <c r="J72" s="81">
        <f>0</f>
        <v>0</v>
      </c>
      <c r="K72" s="81">
        <f>0</f>
        <v>0</v>
      </c>
      <c r="L72" s="81">
        <f>0</f>
        <v>0</v>
      </c>
      <c r="M72" s="81">
        <f>0</f>
        <v>0</v>
      </c>
      <c r="N72" s="74">
        <f>0</f>
        <v>0</v>
      </c>
    </row>
    <row r="73" spans="1:14" ht="15" thickTop="1">
      <c r="A73" s="65" t="s">
        <v>61</v>
      </c>
      <c r="B73" s="77">
        <f>B66+B71+B72</f>
        <v>6632.1336350364963</v>
      </c>
      <c r="C73" s="77">
        <f t="shared" ref="C73" si="79">C66+C71+C72</f>
        <v>6916.094861313868</v>
      </c>
      <c r="D73" s="77">
        <f t="shared" ref="D73" si="80">D66+D71+D72</f>
        <v>6916.094861313868</v>
      </c>
      <c r="E73" s="77">
        <f t="shared" ref="E73" si="81">E66+E71+E72</f>
        <v>7200.0560875912415</v>
      </c>
      <c r="F73" s="77">
        <f t="shared" ref="F73" si="82">F66+F71+F72</f>
        <v>7200.0560875912415</v>
      </c>
      <c r="G73" s="77">
        <f t="shared" ref="G73" si="83">G66+G71+G72</f>
        <v>8019.6590218978099</v>
      </c>
      <c r="H73" s="77">
        <f t="shared" ref="H73" si="84">H66+H71+H72</f>
        <v>8019.6590218978099</v>
      </c>
      <c r="I73" s="77">
        <f t="shared" ref="I73" si="85">I66+I71+I72</f>
        <v>7200.0560875912415</v>
      </c>
      <c r="J73" s="77">
        <f t="shared" ref="J73" si="86">J66+J71+J72</f>
        <v>7484.0173138686132</v>
      </c>
      <c r="K73" s="77">
        <f t="shared" ref="K73" si="87">K66+K71+K72</f>
        <v>8303.6202481751825</v>
      </c>
      <c r="L73" s="77">
        <f t="shared" ref="L73" si="88">L66+L71+L72</f>
        <v>8303.6202481751825</v>
      </c>
      <c r="M73" s="77">
        <f t="shared" ref="M73" si="89">M66+M71+M72</f>
        <v>8587.5814744525542</v>
      </c>
      <c r="N73" s="72">
        <f>SUM(B73:M73)</f>
        <v>90782.648948905102</v>
      </c>
    </row>
    <row r="74" spans="1:14" ht="15" thickBot="1">
      <c r="A74" s="31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109"/>
    </row>
    <row r="75" spans="1:14" ht="15.6" thickTop="1" thickBot="1">
      <c r="A75" s="67" t="s">
        <v>62</v>
      </c>
      <c r="B75" s="83">
        <f>B63-B73</f>
        <v>1289.1060525547464</v>
      </c>
      <c r="C75" s="83">
        <f t="shared" ref="C75:M75" si="90">C63-C73</f>
        <v>2422.3694919708032</v>
      </c>
      <c r="D75" s="83">
        <f t="shared" si="90"/>
        <v>2422.3694919708032</v>
      </c>
      <c r="E75" s="83">
        <f t="shared" si="90"/>
        <v>3555.6329313868628</v>
      </c>
      <c r="F75" s="83">
        <f t="shared" si="90"/>
        <v>3555.6329313868628</v>
      </c>
      <c r="G75" s="83">
        <f t="shared" si="90"/>
        <v>6826.5937328467144</v>
      </c>
      <c r="H75" s="83">
        <f t="shared" si="90"/>
        <v>6826.5937328467144</v>
      </c>
      <c r="I75" s="83">
        <f t="shared" si="90"/>
        <v>3555.6329313868628</v>
      </c>
      <c r="J75" s="83">
        <f t="shared" si="90"/>
        <v>4688.8963708029223</v>
      </c>
      <c r="K75" s="83">
        <f t="shared" si="90"/>
        <v>7959.8571722627748</v>
      </c>
      <c r="L75" s="83">
        <f t="shared" si="90"/>
        <v>7959.8571722627748</v>
      </c>
      <c r="M75" s="83">
        <f t="shared" si="90"/>
        <v>9093.1206116788326</v>
      </c>
      <c r="N75" s="75">
        <f>SUM(B75:M75)</f>
        <v>60155.662623357675</v>
      </c>
    </row>
  </sheetData>
  <mergeCells count="1">
    <mergeCell ref="B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 Table and Chart Pt1</vt:lpstr>
      <vt:lpstr>SI and regression Pt 2</vt:lpstr>
      <vt:lpstr>Food Truck Demand</vt:lpstr>
      <vt:lpstr>Financial information  FT</vt:lpstr>
      <vt:lpstr>Franchise operations  Pt3</vt:lpstr>
      <vt:lpstr>Current operations  Pt3 </vt:lpstr>
      <vt:lpstr>Expected Values Pt4</vt:lpstr>
      <vt:lpstr>Financial information 1 Pt1</vt:lpstr>
      <vt:lpstr>Food Truck  Pt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Kurt Schmitz</dc:creator>
  <cp:keywords/>
  <dc:description/>
  <cp:lastModifiedBy>Araceli Andrade Gutierrez</cp:lastModifiedBy>
  <dcterms:created xsi:type="dcterms:W3CDTF">2017-10-26T20:43:12Z</dcterms:created>
  <dcterms:modified xsi:type="dcterms:W3CDTF">2026-04-23T17:28:41Z</dcterms:modified>
  <cp:category/>
</cp:coreProperties>
</file>